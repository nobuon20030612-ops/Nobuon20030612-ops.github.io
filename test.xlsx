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styles.xml" ContentType="application/vnd.openxmlformats-officedocument.spreadsheetml.styles+xml"/>
  <Override PartName="/xl/ctrlProps/ctrlProps2.xml" ContentType="application/vnd.ms-excel.controlproperties+xml"/>
  <Override PartName="/xl/ctrlProps/ctrlProps3.xml" ContentType="application/vnd.ms-excel.controlproperties+xml"/>
  <Override PartName="/xl/ctrlProps/ctrlProps4.xml" ContentType="application/vnd.ms-excel.controlproperties+xml"/>
  <Override PartName="/xl/ctrlProps/ctrlProps5.xml" ContentType="application/vnd.ms-excel.controlproperties+xml"/>
  <Override PartName="/xl/ctrlProps/ctrlProps6.xml" ContentType="application/vnd.ms-excel.controlproperties+xml"/>
  <Override PartName="/xl/ctrlProps/ctrlProps7.xml" ContentType="application/vnd.ms-excel.controlproperties+xml"/>
  <Override PartName="/xl/ctrlProps/ctrlProps11.xml" ContentType="application/vnd.ms-excel.controlproperties+xml"/>
  <Override PartName="/xl/ctrlProps/ctrlProps8.xml" ContentType="application/vnd.ms-excel.controlproperties+xml"/>
  <Override PartName="/xl/ctrlProps/ctrlProps10.xml" ContentType="application/vnd.ms-excel.controlproperties+xml"/>
  <Override PartName="/xl/ctrlProps/ctrlProps9.xml" ContentType="application/vnd.ms-excel.controlproperties+xml"/>
  <Override PartName="/xl/ctrlProps/ctrlProps12.xml" ContentType="application/vnd.ms-excel.controlproperti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能力計算機" sheetId="1" state="visible" r:id="rId3"/>
    <sheet name="Sheet2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<sst xmlns="http://schemas.openxmlformats.org/spreadsheetml/2006/main" count="91" uniqueCount="66">
  <si>
    <t xml:space="preserve">プレイヤー</t>
  </si>
  <si>
    <t xml:space="preserve">生命</t>
  </si>
  <si>
    <t xml:space="preserve">気合</t>
  </si>
  <si>
    <t xml:space="preserve">腕力</t>
  </si>
  <si>
    <t xml:space="preserve">耐久</t>
  </si>
  <si>
    <t xml:space="preserve">器用</t>
  </si>
  <si>
    <t xml:space="preserve">知力</t>
  </si>
  <si>
    <t xml:space="preserve">魅力</t>
  </si>
  <si>
    <t xml:space="preserve">土</t>
  </si>
  <si>
    <t xml:space="preserve">水</t>
  </si>
  <si>
    <t xml:space="preserve">火</t>
  </si>
  <si>
    <t xml:space="preserve">風</t>
  </si>
  <si>
    <t xml:space="preserve">※付与限界地を入力しないと赤帯補正が掛かってしまいます</t>
  </si>
  <si>
    <t xml:space="preserve">合計能力値</t>
  </si>
  <si>
    <r>
      <rPr>
        <sz val="15"/>
        <color rgb="FFFF0000"/>
        <rFont val="ＭＳ Ｐゴシック"/>
        <family val="2"/>
        <charset val="128"/>
      </rPr>
      <t xml:space="preserve">←下記要素で</t>
    </r>
    <r>
      <rPr>
        <sz val="15"/>
        <color rgb="FFFF0000"/>
        <rFont val="Noto Serif JP Black"/>
        <family val="1"/>
        <charset val="1"/>
      </rPr>
      <t xml:space="preserve">数値は正確ではありません、目安の計算機としてご使用ください</t>
    </r>
  </si>
  <si>
    <t xml:space="preserve">カンスト：残</t>
  </si>
  <si>
    <t xml:space="preserve">※一部の要素(装備,戦闘時能力上昇etc)は除外してたり正確でない為、誤差が発生します</t>
  </si>
  <si>
    <t xml:space="preserve">余剰値</t>
  </si>
  <si>
    <t xml:space="preserve">※職業依存するステータス(技能実装、初期能力、潜在能力、技能覚醒)はおおそよの数値です</t>
  </si>
  <si>
    <t xml:space="preserve">頭：付与</t>
  </si>
  <si>
    <t xml:space="preserve">頭：装飾石</t>
  </si>
  <si>
    <t xml:space="preserve">合戦称号：差引分</t>
  </si>
  <si>
    <t xml:space="preserve">胴：付与</t>
  </si>
  <si>
    <t xml:space="preserve">初期能力:LV85</t>
  </si>
  <si>
    <t xml:space="preserve">胴：装飾石</t>
  </si>
  <si>
    <t xml:space="preserve">潜在能力</t>
  </si>
  <si>
    <t xml:space="preserve">右手：付与</t>
  </si>
  <si>
    <t xml:space="preserve">技能覚醒:常時</t>
  </si>
  <si>
    <t xml:space="preserve">右手：装飾石</t>
  </si>
  <si>
    <t xml:space="preserve">基礎能力:四聖獣</t>
  </si>
  <si>
    <t xml:space="preserve">右手：九十九</t>
  </si>
  <si>
    <t xml:space="preserve">軍神</t>
  </si>
  <si>
    <t xml:space="preserve">左手：付与</t>
  </si>
  <si>
    <t xml:space="preserve">お供絆</t>
  </si>
  <si>
    <t xml:space="preserve">左手：装飾石</t>
  </si>
  <si>
    <t xml:space="preserve">称号：合計</t>
  </si>
  <si>
    <t xml:space="preserve">左手：九十九</t>
  </si>
  <si>
    <t xml:space="preserve">宝玉：合計</t>
  </si>
  <si>
    <t xml:space="preserve">袋：付与</t>
  </si>
  <si>
    <t xml:space="preserve">英傑陣法</t>
  </si>
  <si>
    <t xml:space="preserve">袋：装飾石</t>
  </si>
  <si>
    <t xml:space="preserve">英傑絆：能力</t>
  </si>
  <si>
    <t xml:space="preserve">首：付与</t>
  </si>
  <si>
    <t xml:space="preserve">絆：上昇値</t>
  </si>
  <si>
    <t xml:space="preserve">首：魔導結晶</t>
  </si>
  <si>
    <t xml:space="preserve">転生：廉貞</t>
  </si>
  <si>
    <t xml:space="preserve">腰：付与</t>
  </si>
  <si>
    <t xml:space="preserve">絆：合計上昇値</t>
  </si>
  <si>
    <t xml:space="preserve">腕：付与</t>
  </si>
  <si>
    <t xml:space="preserve">家臣能力</t>
  </si>
  <si>
    <t xml:space="preserve">指：付与</t>
  </si>
  <si>
    <t xml:space="preserve">紋：付与</t>
  </si>
  <si>
    <t xml:space="preserve">主従の力</t>
  </si>
  <si>
    <t xml:space="preserve">個数→</t>
  </si>
  <si>
    <t xml:space="preserve">軍神神各</t>
  </si>
  <si>
    <t xml:space="preserve">★4数→</t>
  </si>
  <si>
    <t xml:space="preserve">覚醒技能実装分：生命→</t>
  </si>
  <si>
    <t xml:space="preserve">お守り:付与</t>
  </si>
  <si>
    <t xml:space="preserve">特殊：付与</t>
  </si>
  <si>
    <t xml:space="preserve">付与限界地</t>
  </si>
  <si>
    <t xml:space="preserve">腰袋：付与</t>
  </si>
  <si>
    <t xml:space="preserve">付与以外:上昇値</t>
  </si>
  <si>
    <t xml:space="preserve">足：付与</t>
  </si>
  <si>
    <t xml:space="preserve">付与合計:上昇値</t>
  </si>
  <si>
    <t xml:space="preserve">護符：付与</t>
  </si>
  <si>
    <t xml:space="preserve">赤帯補正後上昇値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</si>
</sst>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$￥-411]#,##0;[RED]\-[$￥-411]#,##0"/>
    <numFmt numFmtId="166" formatCode="0"/>
    <numFmt numFmtId="167" formatCode="0;[RED]0"/>
    <numFmt numFmtId="168" formatCode="0;0"/>
    <numFmt numFmtId="169" formatCode="&quot;TRUE&quot;;&quot;TRUE&quot;;&quot;FALSE&quot;"/>
  </numFmts>
  <fonts count="22">
    <font>
      <sz val="10"/>
      <name val="ＭＳ Ｐゴシック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u val="single"/>
      <sz val="10"/>
      <name val="ＭＳ Ｐゴシック"/>
      <family val="2"/>
      <charset val="128"/>
    </font>
    <font>
      <sz val="10.5"/>
      <name val="Noto Serif JP Black"/>
      <family val="1"/>
      <charset val="1"/>
    </font>
    <font>
      <sz val="10"/>
      <name val="Noto Serif JP Black"/>
      <family val="1"/>
      <charset val="1"/>
    </font>
    <font>
      <sz val="10"/>
      <color rgb="FF000000"/>
      <name val="Noto Serif JP Black"/>
      <family val="1"/>
      <charset val="1"/>
    </font>
    <font>
      <sz val="10.5"/>
      <color rgb="FF000000"/>
      <name val="Noto Serif JP Black"/>
      <family val="1"/>
      <charset val="1"/>
    </font>
    <font>
      <sz val="13"/>
      <color rgb="FFFF0000"/>
      <name val="Noto Serif JP Black"/>
      <family val="1"/>
      <charset val="1"/>
    </font>
    <font>
      <sz val="10"/>
      <color rgb="FF000000"/>
      <name val="ＭＳ Ｐゴシック"/>
      <family val="2"/>
      <charset val="128"/>
    </font>
    <font>
      <sz val="12"/>
      <color rgb="FF000000"/>
      <name val="Noto Serif JP Black"/>
      <family val="1"/>
      <charset val="1"/>
    </font>
    <font>
      <sz val="15"/>
      <color rgb="FFFF0000"/>
      <name val="ＭＳ Ｐゴシック"/>
      <family val="2"/>
      <charset val="128"/>
    </font>
    <font>
      <sz val="15"/>
      <color rgb="FFFF0000"/>
      <name val="Noto Serif JP Black"/>
      <family val="1"/>
      <charset val="1"/>
    </font>
    <font>
      <sz val="10.5"/>
      <color rgb="FFFF0000"/>
      <name val="Noto Serif JP Black"/>
      <family val="1"/>
      <charset val="1"/>
    </font>
    <font>
      <sz val="10"/>
      <color rgb="FFFF0000"/>
      <name val="Noto Serif JP Black"/>
      <family val="1"/>
      <charset val="1"/>
    </font>
    <font>
      <sz val="12"/>
      <color rgb="FFFF0000"/>
      <name val="Noto Serif JP Black"/>
      <family val="1"/>
      <charset val="1"/>
    </font>
    <font>
      <sz val="10"/>
      <name val="Noto Serif JP Black"/>
      <family val="1"/>
      <charset val="128"/>
    </font>
    <font>
      <sz val="9"/>
      <color rgb="FFFF0000"/>
      <name val="Noto Serif JP Black"/>
      <family val="1"/>
      <charset val="1"/>
    </font>
    <font>
      <sz val="9"/>
      <color rgb="FF000000"/>
      <name val="Noto Serif JP Black"/>
      <family val="1"/>
      <charset val="1"/>
    </font>
    <font>
      <sz val="10"/>
      <color rgb="FFFFFFFF"/>
      <name val="ＭＳ Ｐゴシック"/>
      <family val="2"/>
      <charset val="128"/>
    </font>
    <font>
      <sz val="10"/>
      <color rgb="FFFFFFFF"/>
      <name val="Noto Serif JP Black"/>
      <family val="1"/>
      <charset val="1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999999"/>
        <bgColor rgb="FFBF819E"/>
      </patternFill>
    </fill>
    <fill>
      <patternFill patternType="solid">
        <fgColor rgb="FF000000"/>
        <bgColor rgb="FF003300"/>
      </patternFill>
    </fill>
    <fill>
      <patternFill patternType="solid">
        <fgColor rgb="FFEC9BA4"/>
        <bgColor rgb="FFFF8080"/>
      </patternFill>
    </fill>
    <fill>
      <patternFill patternType="solid">
        <fgColor rgb="FFFF0000"/>
        <bgColor rgb="FF800000"/>
      </patternFill>
    </fill>
    <fill>
      <patternFill patternType="solid">
        <fgColor rgb="FFACB20C"/>
        <bgColor rgb="FF81D41A"/>
      </patternFill>
    </fill>
    <fill>
      <patternFill patternType="solid">
        <fgColor rgb="FFE0C2CD"/>
        <bgColor rgb="FFFFD8CE"/>
      </patternFill>
    </fill>
    <fill>
      <patternFill patternType="solid">
        <fgColor rgb="FFB3CAC7"/>
        <bgColor rgb="FFB7B3CA"/>
      </patternFill>
    </fill>
    <fill>
      <patternFill patternType="solid">
        <fgColor rgb="FF3465A4"/>
        <bgColor rgb="FF3366FF"/>
      </patternFill>
    </fill>
    <fill>
      <patternFill patternType="solid">
        <fgColor rgb="FFB7B3CA"/>
        <bgColor rgb="FFB3CAC7"/>
      </patternFill>
    </fill>
    <fill>
      <patternFill patternType="solid">
        <fgColor rgb="FFFFD8CE"/>
        <bgColor rgb="FFE0C2CD"/>
      </patternFill>
    </fill>
    <fill>
      <patternFill patternType="solid">
        <fgColor rgb="FFBF819E"/>
        <bgColor rgb="FF999999"/>
      </patternFill>
    </fill>
    <fill>
      <patternFill patternType="solid">
        <fgColor rgb="FF5EB91E"/>
        <bgColor rgb="FF81D41A"/>
      </patternFill>
    </fill>
    <fill>
      <patternFill patternType="solid">
        <fgColor rgb="FF7B3D00"/>
        <bgColor rgb="FF993366"/>
      </patternFill>
    </fill>
    <fill>
      <patternFill patternType="solid">
        <fgColor rgb="FF81D41A"/>
        <bgColor rgb="FF5EB91E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0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1" fillId="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5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5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5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7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5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7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7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7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7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5" fillId="8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5" fillId="8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8" fillId="9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9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8" fillId="1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10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7" fillId="1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11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11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7" fillId="1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10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1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12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12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8" fillId="1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13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6" fillId="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8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8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8" fillId="1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14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8" fillId="1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15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6" fillId="1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1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1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7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2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8" fillId="1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12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8" fillId="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8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6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1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7" fillId="1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7" fillId="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結果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CB20C"/>
      <rgbColor rgb="FF800080"/>
      <rgbColor rgb="FF008080"/>
      <rgbColor rgb="FFB3CAC7"/>
      <rgbColor rgb="FFBF819E"/>
      <rgbColor rgb="FF9999FF"/>
      <rgbColor rgb="FF993366"/>
      <rgbColor rgb="FFFFFFCC"/>
      <rgbColor rgb="FFCCFFFF"/>
      <rgbColor rgb="FF660066"/>
      <rgbColor rgb="FFFF8080"/>
      <rgbColor rgb="FF0066CC"/>
      <rgbColor rgb="FFE0C2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EC9BA4"/>
      <rgbColor rgb="FFB7B3CA"/>
      <rgbColor rgb="FFFFD8CE"/>
      <rgbColor rgb="FF3366FF"/>
      <rgbColor rgb="FF33CCCC"/>
      <rgbColor rgb="FF81D41A"/>
      <rgbColor rgb="FFFFCC00"/>
      <rgbColor rgb="FFFF9900"/>
      <rgbColor rgb="FFFF6600"/>
      <rgbColor rgb="FF3465A4"/>
      <rgbColor rgb="FF999999"/>
      <rgbColor rgb="FF003366"/>
      <rgbColor rgb="FF5EB91E"/>
      <rgbColor rgb="FF003300"/>
      <rgbColor rgb="FF333300"/>
      <rgbColor rgb="FF7B3D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CheckBox" autoLine="false" print="true" fmlaLink="能力計算機!$O$20" lockText="1" noThreeD="1"/>
</file>

<file path=xl/ctrlProps/ctrlProps3.xml><?xml version="1.0" encoding="utf-8"?>
<formControlPr xmlns="http://schemas.microsoft.com/office/spreadsheetml/2009/9/main" objectType="CheckBox" autoLine="false" print="true" fmlaLink="能力計算機!$P$20" lockText="1" noThreeD="1"/>
</file>

<file path=xl/ctrlProps/ctrlProps4.xml><?xml version="1.0" encoding="utf-8"?>
<formControlPr xmlns="http://schemas.microsoft.com/office/spreadsheetml/2009/9/main" objectType="CheckBox" autoLine="false" print="true" fmlaLink="能力計算機!$Q$20" lockText="1" noThreeD="1"/>
</file>

<file path=xl/ctrlProps/ctrlProps5.xml><?xml version="1.0" encoding="utf-8"?>
<formControlPr xmlns="http://schemas.microsoft.com/office/spreadsheetml/2009/9/main" objectType="CheckBox" autoLine="false" print="true" fmlaLink="能力計算機!$R$20" lockText="1" noThreeD="1"/>
</file>

<file path=xl/ctrlProps/ctrlProps6.xml><?xml version="1.0" encoding="utf-8"?>
<formControlPr xmlns="http://schemas.microsoft.com/office/spreadsheetml/2009/9/main" objectType="CheckBox" autoLine="false" print="true" fmlaLink="能力計算機!$T$20" lockText="1" noThreeD="1"/>
</file>

<file path=xl/ctrlProps/ctrlProps7.xml><?xml version="1.0" encoding="utf-8"?>
<formControlPr xmlns="http://schemas.microsoft.com/office/spreadsheetml/2009/9/main" objectType="CheckBox" autoLine="false" print="true" fmlaLink="能力計算機!$U$20" lockText="1" noThreeD="1"/>
</file>

<file path=xl/ctrlProps/ctrlProps8.xml><?xml version="1.0" encoding="utf-8"?>
<formControlPr xmlns="http://schemas.microsoft.com/office/spreadsheetml/2009/9/main" objectType="CheckBox" autoLine="false" print="true" fmlaLink="能力計算機!$V$20" lockText="1" noThreeD="1"/>
</file>

<file path=xl/ctrlProps/ctrlProps9.xml><?xml version="1.0" encoding="utf-8"?>
<formControlPr xmlns="http://schemas.microsoft.com/office/spreadsheetml/2009/9/main" objectType="CheckBox" autoLine="false" print="true" fmlaLink="能力計算機!$W$20" lockText="1" noThreeD="1"/>
</file>

<file path=xl/ctrlProps/ctrlProps10.xml><?xml version="1.0" encoding="utf-8"?>
<formControlPr xmlns="http://schemas.microsoft.com/office/spreadsheetml/2009/9/main" objectType="CheckBox" autoLine="false" print="true" fmlaLink="能力計算機!$X$20" lockText="1" noThreeD="1"/>
</file>

<file path=xl/ctrlProps/ctrlProps11.xml><?xml version="1.0" encoding="utf-8"?>
<formControlPr xmlns="http://schemas.microsoft.com/office/spreadsheetml/2009/9/main" objectType="CheckBox" autoLine="false" print="true" fmlaLink="能力計算機!$Y$20" lockText="1" noThreeD="1"/>
</file>

<file path=xl/ctrlProps/ctrlProps12.xml><?xml version="1.0" encoding="utf-8"?>
<formControlPr xmlns="http://schemas.microsoft.com/office/spreadsheetml/2009/9/main" objectType="CheckBox" autoLine="false" print="true" fmlaLink="能力計算機!$S$20" lockText="1" noThreeD="1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442440</xdr:colOff>
          <xdr:row>18</xdr:row>
          <xdr:rowOff>133560</xdr:rowOff>
        </xdr:from>
        <xdr:to>
          <xdr:col>15</xdr:col>
          <xdr:colOff>442440</xdr:colOff>
          <xdr:row>20</xdr:row>
          <xdr:rowOff>133560</xdr:rowOff>
        </xdr:to>
        <xdr:sp>
          <xdr:nvSpPr>
            <xdr:cNvPr id="1001" name="Check Box 1001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426600</xdr:colOff>
          <xdr:row>18</xdr:row>
          <xdr:rowOff>133560</xdr:rowOff>
        </xdr:from>
        <xdr:to>
          <xdr:col>16</xdr:col>
          <xdr:colOff>426600</xdr:colOff>
          <xdr:row>20</xdr:row>
          <xdr:rowOff>133560</xdr:rowOff>
        </xdr:to>
        <xdr:sp>
          <xdr:nvSpPr>
            <xdr:cNvPr id="1002" name="チェックボックス 6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414000</xdr:colOff>
          <xdr:row>18</xdr:row>
          <xdr:rowOff>133560</xdr:rowOff>
        </xdr:from>
        <xdr:to>
          <xdr:col>17</xdr:col>
          <xdr:colOff>414000</xdr:colOff>
          <xdr:row>20</xdr:row>
          <xdr:rowOff>133560</xdr:rowOff>
        </xdr:to>
        <xdr:sp>
          <xdr:nvSpPr>
            <xdr:cNvPr id="1003" name="Check Box 1003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426600</xdr:colOff>
          <xdr:row>18</xdr:row>
          <xdr:rowOff>133560</xdr:rowOff>
        </xdr:from>
        <xdr:to>
          <xdr:col>18</xdr:col>
          <xdr:colOff>426600</xdr:colOff>
          <xdr:row>20</xdr:row>
          <xdr:rowOff>133560</xdr:rowOff>
        </xdr:to>
        <xdr:sp>
          <xdr:nvSpPr>
            <xdr:cNvPr id="1004" name="Check Box 1004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426600</xdr:colOff>
          <xdr:row>18</xdr:row>
          <xdr:rowOff>133560</xdr:rowOff>
        </xdr:from>
        <xdr:to>
          <xdr:col>20</xdr:col>
          <xdr:colOff>426600</xdr:colOff>
          <xdr:row>20</xdr:row>
          <xdr:rowOff>133560</xdr:rowOff>
        </xdr:to>
        <xdr:sp>
          <xdr:nvSpPr>
            <xdr:cNvPr id="1005" name="Check Box 1005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417240</xdr:colOff>
          <xdr:row>18</xdr:row>
          <xdr:rowOff>133560</xdr:rowOff>
        </xdr:from>
        <xdr:to>
          <xdr:col>21</xdr:col>
          <xdr:colOff>417240</xdr:colOff>
          <xdr:row>20</xdr:row>
          <xdr:rowOff>133560</xdr:rowOff>
        </xdr:to>
        <xdr:sp>
          <xdr:nvSpPr>
            <xdr:cNvPr id="1006" name="Check Box 1006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429840</xdr:colOff>
          <xdr:row>18</xdr:row>
          <xdr:rowOff>133560</xdr:rowOff>
        </xdr:from>
        <xdr:to>
          <xdr:col>22</xdr:col>
          <xdr:colOff>429840</xdr:colOff>
          <xdr:row>20</xdr:row>
          <xdr:rowOff>133560</xdr:rowOff>
        </xdr:to>
        <xdr:sp>
          <xdr:nvSpPr>
            <xdr:cNvPr id="1007" name="Check Box 1007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426600</xdr:colOff>
          <xdr:row>18</xdr:row>
          <xdr:rowOff>136440</xdr:rowOff>
        </xdr:from>
        <xdr:to>
          <xdr:col>23</xdr:col>
          <xdr:colOff>426600</xdr:colOff>
          <xdr:row>20</xdr:row>
          <xdr:rowOff>136440</xdr:rowOff>
        </xdr:to>
        <xdr:sp>
          <xdr:nvSpPr>
            <xdr:cNvPr id="1008" name="Check Box 1008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23</xdr:col>
          <xdr:colOff>426600</xdr:colOff>
          <xdr:row>18</xdr:row>
          <xdr:rowOff>133560</xdr:rowOff>
        </xdr:from>
        <xdr:to>
          <xdr:col>24</xdr:col>
          <xdr:colOff>426600</xdr:colOff>
          <xdr:row>20</xdr:row>
          <xdr:rowOff>133560</xdr:rowOff>
        </xdr:to>
        <xdr:sp>
          <xdr:nvSpPr>
            <xdr:cNvPr id="1009" name="Check Box 1009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417240</xdr:colOff>
          <xdr:row>18</xdr:row>
          <xdr:rowOff>133560</xdr:rowOff>
        </xdr:from>
        <xdr:to>
          <xdr:col>26</xdr:col>
          <xdr:colOff>47880</xdr:colOff>
          <xdr:row>20</xdr:row>
          <xdr:rowOff>133560</xdr:rowOff>
        </xdr:to>
        <xdr:sp>
          <xdr:nvSpPr>
            <xdr:cNvPr id="1010" name="Check Box 1010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426600</xdr:colOff>
          <xdr:row>18</xdr:row>
          <xdr:rowOff>133560</xdr:rowOff>
        </xdr:from>
        <xdr:to>
          <xdr:col>19</xdr:col>
          <xdr:colOff>426600</xdr:colOff>
          <xdr:row>20</xdr:row>
          <xdr:rowOff>133560</xdr:rowOff>
        </xdr:to>
        <xdr:sp>
          <xdr:nvSpPr>
            <xdr:cNvPr id="1011" name="Check Box 1011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trlProp" Target="../ctrlProps/ctrlProps2.xml"/><Relationship Id="rId4" Type="http://schemas.openxmlformats.org/officeDocument/2006/relationships/ctrlProp" Target="../ctrlProps/ctrlProps3.xml"/><Relationship Id="rId5" Type="http://schemas.openxmlformats.org/officeDocument/2006/relationships/ctrlProp" Target="../ctrlProps/ctrlProps4.xml"/><Relationship Id="rId6" Type="http://schemas.openxmlformats.org/officeDocument/2006/relationships/ctrlProp" Target="../ctrlProps/ctrlProps5.xml"/><Relationship Id="rId7" Type="http://schemas.openxmlformats.org/officeDocument/2006/relationships/ctrlProp" Target="../ctrlProps/ctrlProps6.xml"/><Relationship Id="rId8" Type="http://schemas.openxmlformats.org/officeDocument/2006/relationships/ctrlProp" Target="../ctrlProps/ctrlProps7.xml"/><Relationship Id="rId9" Type="http://schemas.openxmlformats.org/officeDocument/2006/relationships/ctrlProp" Target="../ctrlProps/ctrlProps8.xml"/><Relationship Id="rId10" Type="http://schemas.openxmlformats.org/officeDocument/2006/relationships/ctrlProp" Target="../ctrlProps/ctrlProps9.xml"/><Relationship Id="rId11" Type="http://schemas.openxmlformats.org/officeDocument/2006/relationships/ctrlProp" Target="../ctrlProps/ctrlProps10.xml"/><Relationship Id="rId12" Type="http://schemas.openxmlformats.org/officeDocument/2006/relationships/ctrlProp" Target="../ctrlProps/ctrlProps11.xml"/><Relationship Id="rId13" Type="http://schemas.openxmlformats.org/officeDocument/2006/relationships/ctrlProp" Target="../ctrlProps/ctrlProps1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28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B4" activeCellId="0" sqref="B4"/>
    </sheetView>
  </sheetViews>
  <sheetFormatPr defaultColWidth="12.8046875" defaultRowHeight="13.2" customHeight="false" zeroHeight="false" outlineLevelRow="0" outlineLevelCol="0"/>
  <cols>
    <col collapsed="false" customWidth="true" hidden="false" outlineLevel="0" max="1" min="1" style="1" width="15.39"/>
    <col collapsed="false" customWidth="true" hidden="false" outlineLevel="0" max="2" min="2" style="2" width="8.75"/>
    <col collapsed="false" customWidth="true" hidden="false" outlineLevel="0" max="3" min="3" style="2" width="7.94"/>
    <col collapsed="false" customWidth="true" hidden="false" outlineLevel="0" max="4" min="4" style="2" width="7.13"/>
    <col collapsed="false" customWidth="true" hidden="false" outlineLevel="0" max="7" min="5" style="3" width="6.35"/>
    <col collapsed="false" customWidth="true" hidden="false" outlineLevel="0" max="11" min="8" style="4" width="6.35"/>
    <col collapsed="false" customWidth="true" hidden="false" outlineLevel="0" max="12" min="12" style="5" width="6.35"/>
    <col collapsed="false" customWidth="true" hidden="false" outlineLevel="0" max="13" min="13" style="6" width="3.66"/>
    <col collapsed="false" customWidth="true" hidden="false" outlineLevel="0" max="14" min="14" style="2" width="16.77"/>
    <col collapsed="false" customWidth="true" hidden="false" outlineLevel="0" max="15" min="15" style="7" width="9.22"/>
    <col collapsed="false" customWidth="true" hidden="false" outlineLevel="0" max="17" min="16" style="8" width="7.94"/>
    <col collapsed="false" customWidth="true" hidden="false" outlineLevel="0" max="18" min="18" style="8" width="8.61"/>
    <col collapsed="false" customWidth="true" hidden="false" outlineLevel="0" max="21" min="19" style="8" width="7.94"/>
    <col collapsed="false" customWidth="true" hidden="false" outlineLevel="0" max="22" min="22" style="8" width="8.88"/>
    <col collapsed="false" customWidth="true" hidden="false" outlineLevel="0" max="25" min="23" style="8" width="7.94"/>
    <col collapsed="false" customWidth="true" hidden="false" outlineLevel="0" max="26" min="26" style="9" width="5.57"/>
  </cols>
  <sheetData>
    <row r="1" s="15" customFormat="true" ht="14.45" hidden="false" customHeight="true" outlineLevel="0" collapsed="false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2"/>
      <c r="N1" s="13" t="s">
        <v>12</v>
      </c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XFA1" s="16"/>
      <c r="XFB1" s="16"/>
      <c r="XFC1" s="16"/>
      <c r="XFD1" s="16"/>
    </row>
    <row r="2" customFormat="false" ht="21.35" hidden="false" customHeight="true" outlineLevel="0" collapsed="false">
      <c r="A2" s="17" t="s">
        <v>13</v>
      </c>
      <c r="B2" s="18" t="n">
        <f aca="false">SUM(O27,O29)-B4</f>
        <v>3100</v>
      </c>
      <c r="C2" s="18" t="n">
        <f aca="false">SUM(P27,P29)-C4</f>
        <v>3100</v>
      </c>
      <c r="D2" s="18" t="n">
        <f aca="false">SUM(Q27,Q29)-D4</f>
        <v>350</v>
      </c>
      <c r="E2" s="18" t="n">
        <f aca="false">SUM(R27,R29)-E4</f>
        <v>350</v>
      </c>
      <c r="F2" s="18" t="n">
        <f aca="false">SUM(S27,S29)-F4</f>
        <v>350</v>
      </c>
      <c r="G2" s="18" t="n">
        <f aca="false">SUM(T27,T29)-G4</f>
        <v>350</v>
      </c>
      <c r="H2" s="18" t="n">
        <f aca="false">SUM(U27,U29)-H4</f>
        <v>350</v>
      </c>
      <c r="I2" s="18" t="n">
        <f aca="false">SUM(V27,V29)-I4</f>
        <v>350</v>
      </c>
      <c r="J2" s="18" t="n">
        <f aca="false">SUM(W27,W29)-J4</f>
        <v>350</v>
      </c>
      <c r="K2" s="18" t="n">
        <f aca="false">SUM(X27,X29)-K4</f>
        <v>350</v>
      </c>
      <c r="L2" s="18" t="n">
        <f aca="false">SUM(Y27,Y29)-L4</f>
        <v>350</v>
      </c>
      <c r="M2" s="19" t="s">
        <v>14</v>
      </c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XFA2" s="15"/>
      <c r="XFB2" s="15"/>
      <c r="XFC2" s="15"/>
      <c r="XFD2" s="15"/>
    </row>
    <row r="3" customFormat="false" ht="14.45" hidden="false" customHeight="true" outlineLevel="0" collapsed="false">
      <c r="A3" s="21" t="s">
        <v>15</v>
      </c>
      <c r="B3" s="22" t="n">
        <f aca="false">B2-99999</f>
        <v>-96899</v>
      </c>
      <c r="C3" s="22" t="n">
        <f aca="false">C2-99999</f>
        <v>-96899</v>
      </c>
      <c r="D3" s="22" t="n">
        <f aca="false">D2-9999</f>
        <v>-9649</v>
      </c>
      <c r="E3" s="22" t="n">
        <f aca="false">E2-9999</f>
        <v>-9649</v>
      </c>
      <c r="F3" s="22" t="n">
        <f aca="false">F2-9999</f>
        <v>-9649</v>
      </c>
      <c r="G3" s="22" t="n">
        <f aca="false">G2-9999</f>
        <v>-9649</v>
      </c>
      <c r="H3" s="22" t="n">
        <f aca="false">H2-9999</f>
        <v>-9649</v>
      </c>
      <c r="I3" s="22" t="n">
        <f aca="false">I2-9999</f>
        <v>-9649</v>
      </c>
      <c r="J3" s="22" t="n">
        <f aca="false">J2-9999</f>
        <v>-9649</v>
      </c>
      <c r="K3" s="22" t="n">
        <f aca="false">K2-9999</f>
        <v>-9649</v>
      </c>
      <c r="L3" s="22" t="n">
        <f aca="false">L2-9999</f>
        <v>-9649</v>
      </c>
      <c r="M3" s="23"/>
      <c r="N3" s="24" t="s">
        <v>16</v>
      </c>
      <c r="O3" s="25"/>
      <c r="P3" s="26"/>
      <c r="Q3" s="26"/>
      <c r="R3" s="26"/>
      <c r="S3" s="26"/>
      <c r="T3" s="26"/>
      <c r="U3" s="26"/>
      <c r="V3" s="26"/>
      <c r="W3" s="26"/>
      <c r="X3" s="26"/>
      <c r="Y3" s="26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</row>
    <row r="4" s="35" customFormat="true" ht="14.45" hidden="false" customHeight="true" outlineLevel="0" collapsed="false">
      <c r="A4" s="27" t="s">
        <v>17</v>
      </c>
      <c r="B4" s="28" t="n">
        <f aca="false">MAX(0,B5-99999)</f>
        <v>0</v>
      </c>
      <c r="C4" s="28" t="n">
        <f aca="false">MAX(0,C5-99999)</f>
        <v>0</v>
      </c>
      <c r="D4" s="28" t="n">
        <f aca="false">MAX(0,D5-9999)</f>
        <v>0</v>
      </c>
      <c r="E4" s="28" t="n">
        <f aca="false">MAX(0,E5-9999)</f>
        <v>0</v>
      </c>
      <c r="F4" s="28" t="n">
        <f aca="false">MAX(0,F5-9999)</f>
        <v>0</v>
      </c>
      <c r="G4" s="28" t="n">
        <f aca="false">MAX(0,G5-9999)</f>
        <v>0</v>
      </c>
      <c r="H4" s="28" t="n">
        <f aca="false">MAX(0,H5-9999)</f>
        <v>0</v>
      </c>
      <c r="I4" s="28" t="n">
        <f aca="false">MAX(0,I5-9999)</f>
        <v>0</v>
      </c>
      <c r="J4" s="28" t="n">
        <f aca="false">MAX(0,J5-9999)</f>
        <v>0</v>
      </c>
      <c r="K4" s="28" t="n">
        <f aca="false">MAX(0,K5-9999)</f>
        <v>0</v>
      </c>
      <c r="L4" s="28" t="n">
        <f aca="false">MAX(0,L5-9999)</f>
        <v>0</v>
      </c>
      <c r="M4" s="29"/>
      <c r="N4" s="30" t="s">
        <v>18</v>
      </c>
      <c r="O4" s="31"/>
      <c r="P4" s="32"/>
      <c r="Q4" s="32"/>
      <c r="R4" s="32"/>
      <c r="S4" s="32"/>
      <c r="T4" s="32"/>
      <c r="U4" s="32"/>
      <c r="V4" s="32"/>
      <c r="W4" s="32"/>
      <c r="X4" s="32"/>
      <c r="Y4" s="32"/>
      <c r="Z4" s="33"/>
      <c r="AA4" s="33"/>
      <c r="AB4" s="33"/>
      <c r="AC4" s="33"/>
      <c r="AD4" s="33"/>
      <c r="AE4" s="33"/>
      <c r="AF4" s="33"/>
      <c r="AG4" s="33"/>
      <c r="AH4" s="33"/>
      <c r="AI4" s="34"/>
      <c r="AJ4" s="34"/>
      <c r="AK4" s="34"/>
      <c r="AL4" s="34"/>
      <c r="AM4" s="34"/>
      <c r="AN4" s="34"/>
      <c r="AO4" s="34"/>
      <c r="AP4" s="34"/>
      <c r="XFA4" s="16"/>
      <c r="XFB4" s="16"/>
      <c r="XFC4" s="16"/>
      <c r="XFD4" s="16"/>
    </row>
    <row r="5" customFormat="false" ht="14.45" hidden="false" customHeight="true" outlineLevel="0" collapsed="false">
      <c r="A5" s="36" t="s">
        <v>13</v>
      </c>
      <c r="B5" s="37" t="n">
        <f aca="false">SUM(O27,O29)</f>
        <v>3100</v>
      </c>
      <c r="C5" s="37" t="n">
        <f aca="false">SUM(P27,P29)</f>
        <v>3100</v>
      </c>
      <c r="D5" s="37" t="n">
        <f aca="false">SUM(Q27,Q29)</f>
        <v>350</v>
      </c>
      <c r="E5" s="37" t="n">
        <f aca="false">SUM(R27,R29)</f>
        <v>350</v>
      </c>
      <c r="F5" s="37" t="n">
        <f aca="false">SUM(S27,S29)</f>
        <v>350</v>
      </c>
      <c r="G5" s="37" t="n">
        <f aca="false">SUM(T27,T29)</f>
        <v>350</v>
      </c>
      <c r="H5" s="37" t="n">
        <f aca="false">SUM(U27,U29)</f>
        <v>350</v>
      </c>
      <c r="I5" s="37" t="n">
        <f aca="false">SUM(V27,V29)</f>
        <v>350</v>
      </c>
      <c r="J5" s="37" t="n">
        <f aca="false">SUM(W27,W29)</f>
        <v>350</v>
      </c>
      <c r="K5" s="37" t="n">
        <f aca="false">SUM(X27,X29)</f>
        <v>350</v>
      </c>
      <c r="L5" s="37" t="n">
        <f aca="false">SUM(Y27,Y29)</f>
        <v>350</v>
      </c>
      <c r="M5" s="23"/>
      <c r="N5" s="26"/>
      <c r="O5" s="38"/>
      <c r="P5" s="39"/>
      <c r="Q5" s="39"/>
      <c r="R5" s="39"/>
      <c r="S5" s="39"/>
      <c r="T5" s="39"/>
      <c r="U5" s="39"/>
      <c r="V5" s="39"/>
      <c r="W5" s="39"/>
      <c r="X5" s="39"/>
      <c r="Y5" s="39"/>
      <c r="Z5" s="4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</row>
    <row r="6" s="15" customFormat="true" ht="14.45" hidden="false" customHeight="true" outlineLevel="0" collapsed="false">
      <c r="A6" s="10"/>
      <c r="B6" s="11" t="s">
        <v>1</v>
      </c>
      <c r="C6" s="11" t="s">
        <v>2</v>
      </c>
      <c r="D6" s="11" t="s">
        <v>3</v>
      </c>
      <c r="E6" s="11" t="s">
        <v>4</v>
      </c>
      <c r="F6" s="11" t="s">
        <v>5</v>
      </c>
      <c r="G6" s="11" t="s">
        <v>6</v>
      </c>
      <c r="H6" s="11" t="s">
        <v>7</v>
      </c>
      <c r="I6" s="11" t="s">
        <v>8</v>
      </c>
      <c r="J6" s="11" t="s">
        <v>9</v>
      </c>
      <c r="K6" s="11" t="s">
        <v>10</v>
      </c>
      <c r="L6" s="11" t="s">
        <v>11</v>
      </c>
      <c r="M6" s="12"/>
      <c r="N6" s="41"/>
      <c r="O6" s="42" t="n">
        <f aca="false">-ABS(O8)</f>
        <v>-2000</v>
      </c>
      <c r="P6" s="42" t="n">
        <f aca="false">-ABS(P8)</f>
        <v>-2000</v>
      </c>
      <c r="Q6" s="42" t="n">
        <f aca="false">-ABS(Q8)</f>
        <v>-100</v>
      </c>
      <c r="R6" s="42" t="n">
        <f aca="false">-ABS(R8)</f>
        <v>-100</v>
      </c>
      <c r="S6" s="42" t="n">
        <f aca="false">-ABS(S8)</f>
        <v>-100</v>
      </c>
      <c r="T6" s="42" t="n">
        <f aca="false">-ABS(T8)</f>
        <v>-100</v>
      </c>
      <c r="U6" s="42" t="n">
        <f aca="false">-ABS(U8)</f>
        <v>-100</v>
      </c>
      <c r="V6" s="42" t="n">
        <f aca="false">-ABS(V8)</f>
        <v>-100</v>
      </c>
      <c r="W6" s="42" t="n">
        <f aca="false">-ABS(W8)</f>
        <v>-100</v>
      </c>
      <c r="X6" s="42" t="n">
        <f aca="false">-ABS(X8)</f>
        <v>-100</v>
      </c>
      <c r="Y6" s="42" t="n">
        <f aca="false">-ABS(Y8)</f>
        <v>-100</v>
      </c>
      <c r="Z6" s="43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XFA6" s="16"/>
      <c r="XFB6" s="16"/>
      <c r="XFC6" s="16"/>
      <c r="XFD6" s="16"/>
    </row>
    <row r="7" customFormat="false" ht="14.45" hidden="false" customHeight="true" outlineLevel="0" collapsed="false">
      <c r="A7" s="44" t="s">
        <v>19</v>
      </c>
      <c r="B7" s="45"/>
      <c r="C7" s="45"/>
      <c r="D7" s="45"/>
      <c r="E7" s="45"/>
      <c r="F7" s="45"/>
      <c r="G7" s="45"/>
      <c r="H7" s="45"/>
      <c r="I7" s="45"/>
      <c r="J7" s="45"/>
      <c r="K7" s="45"/>
      <c r="L7" s="45"/>
      <c r="M7" s="23"/>
      <c r="N7" s="46"/>
      <c r="O7" s="11" t="s">
        <v>1</v>
      </c>
      <c r="P7" s="11" t="s">
        <v>2</v>
      </c>
      <c r="Q7" s="11" t="s">
        <v>3</v>
      </c>
      <c r="R7" s="11" t="s">
        <v>4</v>
      </c>
      <c r="S7" s="11" t="s">
        <v>5</v>
      </c>
      <c r="T7" s="11" t="s">
        <v>6</v>
      </c>
      <c r="U7" s="11" t="s">
        <v>7</v>
      </c>
      <c r="V7" s="11" t="s">
        <v>8</v>
      </c>
      <c r="W7" s="11" t="s">
        <v>9</v>
      </c>
      <c r="X7" s="11" t="s">
        <v>10</v>
      </c>
      <c r="Y7" s="11" t="s">
        <v>11</v>
      </c>
      <c r="Z7" s="47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</row>
    <row r="8" customFormat="false" ht="14.45" hidden="false" customHeight="true" outlineLevel="0" collapsed="false">
      <c r="A8" s="44" t="s">
        <v>20</v>
      </c>
      <c r="B8" s="45"/>
      <c r="C8" s="45"/>
      <c r="D8" s="45"/>
      <c r="E8" s="45"/>
      <c r="F8" s="45"/>
      <c r="G8" s="45"/>
      <c r="H8" s="45"/>
      <c r="I8" s="45"/>
      <c r="J8" s="45"/>
      <c r="K8" s="45"/>
      <c r="L8" s="45"/>
      <c r="M8" s="23"/>
      <c r="N8" s="48" t="s">
        <v>21</v>
      </c>
      <c r="O8" s="49" t="n">
        <v>2000</v>
      </c>
      <c r="P8" s="50" t="n">
        <v>2000</v>
      </c>
      <c r="Q8" s="50" t="n">
        <v>100</v>
      </c>
      <c r="R8" s="50" t="n">
        <v>100</v>
      </c>
      <c r="S8" s="50" t="n">
        <v>100</v>
      </c>
      <c r="T8" s="50" t="n">
        <v>100</v>
      </c>
      <c r="U8" s="50" t="n">
        <v>100</v>
      </c>
      <c r="V8" s="50" t="n">
        <v>100</v>
      </c>
      <c r="W8" s="50" t="n">
        <v>100</v>
      </c>
      <c r="X8" s="50" t="n">
        <v>100</v>
      </c>
      <c r="Y8" s="50" t="n">
        <v>100</v>
      </c>
      <c r="Z8" s="47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</row>
    <row r="9" customFormat="false" ht="14.45" hidden="false" customHeight="true" outlineLevel="0" collapsed="false">
      <c r="A9" s="51" t="s">
        <v>22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23"/>
      <c r="N9" s="53" t="s">
        <v>23</v>
      </c>
      <c r="O9" s="54" t="n">
        <v>2900</v>
      </c>
      <c r="P9" s="54" t="n">
        <v>2900</v>
      </c>
      <c r="Q9" s="54" t="n">
        <v>250</v>
      </c>
      <c r="R9" s="54" t="n">
        <v>250</v>
      </c>
      <c r="S9" s="54" t="n">
        <v>250</v>
      </c>
      <c r="T9" s="54" t="n">
        <v>250</v>
      </c>
      <c r="U9" s="54" t="n">
        <v>250</v>
      </c>
      <c r="V9" s="54" t="n">
        <v>250</v>
      </c>
      <c r="W9" s="54" t="n">
        <v>250</v>
      </c>
      <c r="X9" s="54" t="n">
        <v>250</v>
      </c>
      <c r="Y9" s="54" t="n">
        <v>250</v>
      </c>
      <c r="Z9" s="47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</row>
    <row r="10" customFormat="false" ht="14.45" hidden="false" customHeight="true" outlineLevel="0" collapsed="false">
      <c r="A10" s="51" t="s">
        <v>24</v>
      </c>
      <c r="B10" s="52"/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23"/>
      <c r="N10" s="55" t="s">
        <v>25</v>
      </c>
      <c r="O10" s="54" t="n">
        <v>600</v>
      </c>
      <c r="P10" s="54" t="n">
        <v>600</v>
      </c>
      <c r="Q10" s="54" t="n">
        <v>40</v>
      </c>
      <c r="R10" s="54" t="n">
        <v>40</v>
      </c>
      <c r="S10" s="54" t="n">
        <v>40</v>
      </c>
      <c r="T10" s="54" t="n">
        <v>40</v>
      </c>
      <c r="U10" s="54" t="n">
        <v>40</v>
      </c>
      <c r="V10" s="54" t="n">
        <v>40</v>
      </c>
      <c r="W10" s="54" t="n">
        <v>40</v>
      </c>
      <c r="X10" s="54" t="n">
        <v>40</v>
      </c>
      <c r="Y10" s="54" t="n">
        <v>40</v>
      </c>
      <c r="Z10" s="47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</row>
    <row r="11" customFormat="false" ht="14.45" hidden="false" customHeight="true" outlineLevel="0" collapsed="false">
      <c r="A11" s="56" t="s">
        <v>26</v>
      </c>
      <c r="B11" s="57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23"/>
      <c r="N11" s="55" t="s">
        <v>27</v>
      </c>
      <c r="O11" s="54" t="n">
        <v>1000</v>
      </c>
      <c r="P11" s="54" t="n">
        <v>1000</v>
      </c>
      <c r="Q11" s="54" t="n">
        <v>100</v>
      </c>
      <c r="R11" s="54" t="n">
        <v>100</v>
      </c>
      <c r="S11" s="54" t="n">
        <v>100</v>
      </c>
      <c r="T11" s="54" t="n">
        <v>100</v>
      </c>
      <c r="U11" s="54" t="n">
        <v>100</v>
      </c>
      <c r="V11" s="54" t="n">
        <v>100</v>
      </c>
      <c r="W11" s="54" t="n">
        <v>100</v>
      </c>
      <c r="X11" s="54" t="n">
        <v>100</v>
      </c>
      <c r="Y11" s="54" t="n">
        <v>100</v>
      </c>
      <c r="Z11" s="47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</row>
    <row r="12" customFormat="false" ht="14.45" hidden="false" customHeight="true" outlineLevel="0" collapsed="false">
      <c r="A12" s="56" t="s">
        <v>28</v>
      </c>
      <c r="B12" s="57"/>
      <c r="C12" s="57"/>
      <c r="D12" s="57"/>
      <c r="E12" s="57"/>
      <c r="F12" s="57"/>
      <c r="G12" s="57"/>
      <c r="H12" s="57"/>
      <c r="I12" s="57"/>
      <c r="J12" s="57"/>
      <c r="K12" s="57"/>
      <c r="L12" s="57"/>
      <c r="M12" s="23"/>
      <c r="N12" s="58" t="s">
        <v>29</v>
      </c>
      <c r="O12" s="59" t="n">
        <v>600</v>
      </c>
      <c r="P12" s="59" t="n">
        <v>600</v>
      </c>
      <c r="Q12" s="59" t="n">
        <v>60</v>
      </c>
      <c r="R12" s="59" t="n">
        <v>60</v>
      </c>
      <c r="S12" s="59" t="n">
        <v>60</v>
      </c>
      <c r="T12" s="59" t="n">
        <v>60</v>
      </c>
      <c r="U12" s="59" t="n">
        <v>60</v>
      </c>
      <c r="V12" s="59" t="n">
        <v>60</v>
      </c>
      <c r="W12" s="59" t="n">
        <v>60</v>
      </c>
      <c r="X12" s="59" t="n">
        <v>60</v>
      </c>
      <c r="Y12" s="59" t="n">
        <v>60</v>
      </c>
      <c r="Z12" s="47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</row>
    <row r="13" customFormat="false" ht="14.45" hidden="false" customHeight="true" outlineLevel="0" collapsed="false">
      <c r="A13" s="56" t="s">
        <v>30</v>
      </c>
      <c r="B13" s="57"/>
      <c r="C13" s="57"/>
      <c r="D13" s="57"/>
      <c r="E13" s="57"/>
      <c r="F13" s="57"/>
      <c r="G13" s="57"/>
      <c r="H13" s="57"/>
      <c r="I13" s="57"/>
      <c r="J13" s="57"/>
      <c r="K13" s="57"/>
      <c r="L13" s="57"/>
      <c r="M13" s="23"/>
      <c r="N13" s="60" t="s">
        <v>31</v>
      </c>
      <c r="O13" s="61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47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</row>
    <row r="14" customFormat="false" ht="14.45" hidden="false" customHeight="true" outlineLevel="0" collapsed="false">
      <c r="A14" s="63" t="s">
        <v>32</v>
      </c>
      <c r="B14" s="64"/>
      <c r="C14" s="64"/>
      <c r="D14" s="64"/>
      <c r="E14" s="64"/>
      <c r="F14" s="64"/>
      <c r="G14" s="64"/>
      <c r="H14" s="64"/>
      <c r="I14" s="64"/>
      <c r="J14" s="64"/>
      <c r="K14" s="64"/>
      <c r="L14" s="64"/>
      <c r="M14" s="23"/>
      <c r="N14" s="65" t="s">
        <v>33</v>
      </c>
      <c r="O14" s="66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</row>
    <row r="15" customFormat="false" ht="14.45" hidden="false" customHeight="true" outlineLevel="0" collapsed="false">
      <c r="A15" s="63" t="s">
        <v>34</v>
      </c>
      <c r="B15" s="64"/>
      <c r="C15" s="64"/>
      <c r="D15" s="64"/>
      <c r="E15" s="64"/>
      <c r="F15" s="64"/>
      <c r="G15" s="64"/>
      <c r="H15" s="64"/>
      <c r="I15" s="64"/>
      <c r="J15" s="64"/>
      <c r="K15" s="64"/>
      <c r="L15" s="64"/>
      <c r="M15" s="23"/>
      <c r="N15" s="60" t="s">
        <v>35</v>
      </c>
      <c r="O15" s="61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47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</row>
    <row r="16" customFormat="false" ht="14.45" hidden="false" customHeight="true" outlineLevel="0" collapsed="false">
      <c r="A16" s="63" t="s">
        <v>36</v>
      </c>
      <c r="B16" s="64"/>
      <c r="C16" s="64"/>
      <c r="D16" s="64"/>
      <c r="E16" s="64"/>
      <c r="F16" s="64"/>
      <c r="G16" s="64"/>
      <c r="H16" s="64"/>
      <c r="I16" s="64"/>
      <c r="J16" s="64"/>
      <c r="K16" s="64"/>
      <c r="L16" s="64"/>
      <c r="M16" s="23"/>
      <c r="N16" s="65" t="s">
        <v>37</v>
      </c>
      <c r="O16" s="66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47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</row>
    <row r="17" customFormat="false" ht="14.45" hidden="false" customHeight="true" outlineLevel="0" collapsed="false">
      <c r="A17" s="68" t="s">
        <v>38</v>
      </c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23"/>
      <c r="N17" s="60" t="s">
        <v>39</v>
      </c>
      <c r="O17" s="61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47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</row>
    <row r="18" customFormat="false" ht="14.45" hidden="false" customHeight="true" outlineLevel="0" collapsed="false">
      <c r="A18" s="68" t="s">
        <v>40</v>
      </c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23"/>
      <c r="N18" s="65" t="s">
        <v>41</v>
      </c>
      <c r="O18" s="66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47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</row>
    <row r="19" customFormat="false" ht="14.45" hidden="false" customHeight="true" outlineLevel="0" collapsed="false">
      <c r="A19" s="70" t="s">
        <v>42</v>
      </c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23"/>
      <c r="N19" s="72" t="s">
        <v>43</v>
      </c>
      <c r="O19" s="73" t="n">
        <f aca="false">O18/10</f>
        <v>0</v>
      </c>
      <c r="P19" s="74" t="n">
        <f aca="false">P18/10</f>
        <v>0</v>
      </c>
      <c r="Q19" s="74" t="n">
        <f aca="false">Q18/10</f>
        <v>0</v>
      </c>
      <c r="R19" s="74" t="n">
        <f aca="false">R18/10</f>
        <v>0</v>
      </c>
      <c r="S19" s="74" t="n">
        <f aca="false">S18/10</f>
        <v>0</v>
      </c>
      <c r="T19" s="74" t="n">
        <f aca="false">T18/10</f>
        <v>0</v>
      </c>
      <c r="U19" s="74" t="n">
        <f aca="false">U18/10</f>
        <v>0</v>
      </c>
      <c r="V19" s="74" t="n">
        <f aca="false">V18/10</f>
        <v>0</v>
      </c>
      <c r="W19" s="74" t="n">
        <f aca="false">W18/10</f>
        <v>0</v>
      </c>
      <c r="X19" s="74" t="n">
        <f aca="false">X18/10</f>
        <v>0</v>
      </c>
      <c r="Y19" s="74" t="n">
        <f aca="false">Y18/10</f>
        <v>0</v>
      </c>
      <c r="Z19" s="47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</row>
    <row r="20" customFormat="false" ht="14.45" hidden="false" customHeight="true" outlineLevel="0" collapsed="false">
      <c r="A20" s="70" t="s">
        <v>44</v>
      </c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23"/>
      <c r="N20" s="37" t="s">
        <v>45</v>
      </c>
      <c r="O20" s="75" t="b">
        <v>0</v>
      </c>
      <c r="P20" s="76" t="n">
        <f aca="false">FALSE()</f>
        <v>0</v>
      </c>
      <c r="Q20" s="76" t="n">
        <f aca="false">FALSE()</f>
        <v>0</v>
      </c>
      <c r="R20" s="76" t="n">
        <f aca="false">FALSE()</f>
        <v>0</v>
      </c>
      <c r="S20" s="77" t="b">
        <f aca="false">FALSE()</f>
        <v>0</v>
      </c>
      <c r="T20" s="77" t="b">
        <f aca="false">FALSE()</f>
        <v>0</v>
      </c>
      <c r="U20" s="77" t="b">
        <f aca="false">FALSE()</f>
        <v>0</v>
      </c>
      <c r="V20" s="77" t="b">
        <f aca="false">FALSE()</f>
        <v>0</v>
      </c>
      <c r="W20" s="77" t="b">
        <f aca="false">FALSE()</f>
        <v>0</v>
      </c>
      <c r="X20" s="77" t="b">
        <f aca="false">FALSE()</f>
        <v>0</v>
      </c>
      <c r="Y20" s="77" t="b">
        <f aca="false">FALSE()</f>
        <v>0</v>
      </c>
      <c r="Z20" s="47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</row>
    <row r="21" customFormat="false" ht="14.45" hidden="false" customHeight="true" outlineLevel="0" collapsed="false">
      <c r="A21" s="78" t="s">
        <v>46</v>
      </c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23"/>
      <c r="N21" s="28" t="s">
        <v>47</v>
      </c>
      <c r="O21" s="28" t="n">
        <f aca="false">IF(O20, (O18/10)*1.5, O18/10)</f>
        <v>0</v>
      </c>
      <c r="P21" s="28" t="n">
        <f aca="false">IF(P20, (P18/10)*1.5, P18/10)</f>
        <v>0</v>
      </c>
      <c r="Q21" s="28" t="n">
        <f aca="false">IF(Q20, (Q18/10)*1.5, Q18/10)</f>
        <v>0</v>
      </c>
      <c r="R21" s="28" t="n">
        <f aca="false">IF(R20, (R18/10)*1.5, R18/10)</f>
        <v>0</v>
      </c>
      <c r="S21" s="28" t="n">
        <f aca="false">IF(S20, (S18/10)*1.5, S18/10)</f>
        <v>0</v>
      </c>
      <c r="T21" s="28" t="n">
        <f aca="false">IF(T20, (T18/10)*1.5, T18/10)</f>
        <v>0</v>
      </c>
      <c r="U21" s="28" t="n">
        <f aca="false">IF(U20, (U18/10)*1.5, U18/10)</f>
        <v>0</v>
      </c>
      <c r="V21" s="28" t="n">
        <f aca="false">IF(V20, (V18/10)*1.5, V18/10)</f>
        <v>0</v>
      </c>
      <c r="W21" s="28" t="n">
        <f aca="false">IF(W20, (W18/10)*1.5, W18/10)</f>
        <v>0</v>
      </c>
      <c r="X21" s="28" t="n">
        <f aca="false">IF(X20, (X18/10)*1.5, X18/10)</f>
        <v>0</v>
      </c>
      <c r="Y21" s="28" t="n">
        <f aca="false">IF(Y20, (Y18/10)*1.5, Y18/10)</f>
        <v>0</v>
      </c>
      <c r="Z21" s="47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20"/>
    </row>
    <row r="22" customFormat="false" ht="14.45" hidden="false" customHeight="true" outlineLevel="0" collapsed="false">
      <c r="A22" s="80" t="s">
        <v>48</v>
      </c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23"/>
      <c r="N22" s="60" t="s">
        <v>49</v>
      </c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47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</row>
    <row r="23" customFormat="false" ht="14.45" hidden="false" customHeight="true" outlineLevel="0" collapsed="false">
      <c r="A23" s="82" t="s">
        <v>50</v>
      </c>
      <c r="B23" s="83"/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23"/>
      <c r="N23" s="72" t="s">
        <v>43</v>
      </c>
      <c r="O23" s="73" t="n">
        <f aca="false">O22/10</f>
        <v>0</v>
      </c>
      <c r="P23" s="74" t="n">
        <f aca="false">P22/10</f>
        <v>0</v>
      </c>
      <c r="Q23" s="74" t="n">
        <f aca="false">Q22/10</f>
        <v>0</v>
      </c>
      <c r="R23" s="74" t="n">
        <f aca="false">R22/10</f>
        <v>0</v>
      </c>
      <c r="S23" s="74" t="n">
        <f aca="false">S22/10</f>
        <v>0</v>
      </c>
      <c r="T23" s="74" t="n">
        <f aca="false">T22/10</f>
        <v>0</v>
      </c>
      <c r="U23" s="74" t="n">
        <f aca="false">U22/10</f>
        <v>0</v>
      </c>
      <c r="V23" s="74" t="n">
        <f aca="false">V22/10</f>
        <v>0</v>
      </c>
      <c r="W23" s="74" t="n">
        <f aca="false">W22/10</f>
        <v>0</v>
      </c>
      <c r="X23" s="74" t="n">
        <f aca="false">X22/10</f>
        <v>0</v>
      </c>
      <c r="Y23" s="74" t="n">
        <f aca="false">Y22/10</f>
        <v>0</v>
      </c>
      <c r="Z23" s="47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</row>
    <row r="24" customFormat="false" ht="14.45" hidden="false" customHeight="true" outlineLevel="0" collapsed="false">
      <c r="A24" s="84" t="s">
        <v>51</v>
      </c>
      <c r="B24" s="85"/>
      <c r="C24" s="85"/>
      <c r="D24" s="85"/>
      <c r="E24" s="85"/>
      <c r="F24" s="85"/>
      <c r="G24" s="85"/>
      <c r="H24" s="85"/>
      <c r="I24" s="85"/>
      <c r="J24" s="85"/>
      <c r="K24" s="85"/>
      <c r="L24" s="85"/>
      <c r="M24" s="23"/>
      <c r="N24" s="37" t="s">
        <v>52</v>
      </c>
      <c r="O24" s="37" t="s">
        <v>53</v>
      </c>
      <c r="P24" s="67"/>
      <c r="Q24" s="86"/>
      <c r="R24" s="87" t="s">
        <v>54</v>
      </c>
      <c r="S24" s="87" t="s">
        <v>55</v>
      </c>
      <c r="T24" s="67"/>
      <c r="U24" s="20"/>
      <c r="V24" s="88" t="s">
        <v>56</v>
      </c>
      <c r="W24" s="88"/>
      <c r="X24" s="88"/>
      <c r="Y24" s="67"/>
      <c r="Z24" s="47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  <c r="AM24" s="20"/>
      <c r="AN24" s="20"/>
      <c r="AO24" s="20"/>
      <c r="AP24" s="20"/>
    </row>
    <row r="25" customFormat="false" ht="16.15" hidden="false" customHeight="true" outlineLevel="0" collapsed="false">
      <c r="A25" s="82" t="s">
        <v>57</v>
      </c>
      <c r="B25" s="83"/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29"/>
      <c r="N25" s="28" t="s">
        <v>47</v>
      </c>
      <c r="O25" s="28" t="n">
        <f aca="false">O23*(1+(P24/100))</f>
        <v>0</v>
      </c>
      <c r="P25" s="28" t="n">
        <f aca="false">P23*(1+(P24/100))</f>
        <v>0</v>
      </c>
      <c r="Q25" s="28" t="n">
        <f aca="false">Q23*(1+(P24/100))</f>
        <v>0</v>
      </c>
      <c r="R25" s="28" t="n">
        <f aca="false">R23*(1+(P24/100))</f>
        <v>0</v>
      </c>
      <c r="S25" s="28" t="n">
        <f aca="false">S23*(1+(P24/100))</f>
        <v>0</v>
      </c>
      <c r="T25" s="28" t="n">
        <f aca="false">T23*(1+(P24/100))</f>
        <v>0</v>
      </c>
      <c r="U25" s="28" t="n">
        <f aca="false">U23*(1+(P24/100))</f>
        <v>0</v>
      </c>
      <c r="V25" s="28" t="n">
        <f aca="false">V23*(1+(P24/100))</f>
        <v>0</v>
      </c>
      <c r="W25" s="28" t="n">
        <f aca="false">W23*(1+(P24/100))</f>
        <v>0</v>
      </c>
      <c r="X25" s="28" t="n">
        <f aca="false">X23*(1+(P24/100))</f>
        <v>0</v>
      </c>
      <c r="Y25" s="28" t="n">
        <f aca="false">Y23*(1+(P24/100))</f>
        <v>0</v>
      </c>
      <c r="Z25" s="47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</row>
    <row r="26" customFormat="false" ht="16.15" hidden="false" customHeight="true" outlineLevel="0" collapsed="false">
      <c r="A26" s="84" t="s">
        <v>58</v>
      </c>
      <c r="B26" s="85"/>
      <c r="C26" s="85"/>
      <c r="D26" s="85"/>
      <c r="E26" s="85"/>
      <c r="F26" s="85"/>
      <c r="G26" s="85"/>
      <c r="H26" s="85"/>
      <c r="I26" s="85"/>
      <c r="J26" s="85"/>
      <c r="K26" s="85"/>
      <c r="L26" s="85"/>
      <c r="M26" s="23"/>
      <c r="N26" s="89" t="s">
        <v>59</v>
      </c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47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</row>
    <row r="27" customFormat="false" ht="16.15" hidden="false" customHeight="true" outlineLevel="0" collapsed="false">
      <c r="A27" s="82" t="s">
        <v>60</v>
      </c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23"/>
      <c r="N27" s="91" t="s">
        <v>61</v>
      </c>
      <c r="O27" s="91" t="n">
        <f aca="false">SUM(B8,B10,B12,B13,B15,B16,B18,B20,O6,O9,O10,O11,O12,O13,O14,O15,O16,O17,O21,O25,P24,V24,Y24)</f>
        <v>3100</v>
      </c>
      <c r="P27" s="91" t="n">
        <f aca="false">SUM(C8,C10,C12,C13,C15,C16,C18,C20,P6,P9,P10,P11,P12,P13,P14,P15,P16,P17,P18,P25)</f>
        <v>3100</v>
      </c>
      <c r="Q27" s="91" t="n">
        <f aca="false">SUM(D8,D10,D12,D13,D15,D16,D18,D20,Q6,Q9,Q10,Q11,Q12,Q13,Q14,Q15,Q16,Q17,Q18,Q25)</f>
        <v>350</v>
      </c>
      <c r="R27" s="91" t="n">
        <f aca="false">SUM(E8,E10,E12,E13,E15,E16,E18,E20,R6,R9,R10,R11,R12,R13,R14,R15,R16,R17,R18,R25)</f>
        <v>350</v>
      </c>
      <c r="S27" s="91" t="n">
        <f aca="false">SUM(F8,F10,F12,F13,F15,F16,F18,F20,S6,S9,S10,S11,S12,S13,S14,S15,S16,S17,S18,S25)</f>
        <v>350</v>
      </c>
      <c r="T27" s="91" t="n">
        <f aca="false">SUM(G8,G10,G12,G13,G15,G16,G18,G20,T6,T9,T10,T11,T12,T13,T14,T15,T16,T17,T18,T25)</f>
        <v>350</v>
      </c>
      <c r="U27" s="91" t="n">
        <f aca="false">SUM(H8,H10,H12,H13,H15,H16,H18,H20,U6,U9,U10,U11,U12,U13,U14,U15,U16,U17,U18,U25)</f>
        <v>350</v>
      </c>
      <c r="V27" s="91" t="n">
        <f aca="false">SUM(I8,I10,I12,I13,I15,I16,I18,I20,V6,V9,V10,V11,V12,V13,V14,V15,V16,V17,V18,V25)</f>
        <v>350</v>
      </c>
      <c r="W27" s="91" t="n">
        <f aca="false">SUM(J8,J10,J12,J13,J15,J16,J18,J20,W6,W9,W10,W11,W12,W13,W14,W15,W16,W17,W18,W25)</f>
        <v>350</v>
      </c>
      <c r="X27" s="91" t="n">
        <f aca="false">SUM(K8,K10,K12,K13,K15,K16,K18,K20,X6,X9,X10,X11,X12,X13,X14,X15,X16,X17,X18,X25)</f>
        <v>350</v>
      </c>
      <c r="Y27" s="91" t="n">
        <f aca="false">SUM(L8,L10,L12,L13,L15,L16,L18,L20,Y6,Y9,Y10,Y11,Y12,Y13,Y14,Y15,Y16,Y17,Y18,Y25)</f>
        <v>350</v>
      </c>
      <c r="Z27" s="47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</row>
    <row r="28" customFormat="false" ht="16.15" hidden="false" customHeight="true" outlineLevel="0" collapsed="false">
      <c r="A28" s="84" t="s">
        <v>62</v>
      </c>
      <c r="B28" s="85"/>
      <c r="C28" s="85"/>
      <c r="D28" s="85"/>
      <c r="E28" s="85"/>
      <c r="F28" s="85"/>
      <c r="G28" s="85"/>
      <c r="H28" s="85"/>
      <c r="I28" s="85"/>
      <c r="J28" s="85"/>
      <c r="K28" s="85"/>
      <c r="L28" s="85"/>
      <c r="M28" s="92"/>
      <c r="N28" s="93" t="s">
        <v>63</v>
      </c>
      <c r="O28" s="91" t="n">
        <f aca="false">SUM(B7,B9,B11,B14,B17,B19,B21,B22,B23,B24,B25,B26,B27,B28,B29)</f>
        <v>0</v>
      </c>
      <c r="P28" s="91" t="n">
        <f aca="false">SUM(C7,C9,C11,C14,C17,C19,C21,C22,C23,C24,C25,C26,C27,C28,C29)</f>
        <v>0</v>
      </c>
      <c r="Q28" s="91" t="n">
        <f aca="false">SUM(D7,D9,D11,D14,D17,D19,D21,D22,D23,D24,D25,D26,D27,D28,D29)</f>
        <v>0</v>
      </c>
      <c r="R28" s="91" t="n">
        <f aca="false">SUM(E7,E9,E11,E14,E17,E19,E21,E22,E23,E24,E25,E26,E27,E28,E29)</f>
        <v>0</v>
      </c>
      <c r="S28" s="91" t="n">
        <f aca="false">SUM(F7,F9,F11,F14,F17,F19,F21,F22,F23,F24,F25,F26,F27,F28,F29)</f>
        <v>0</v>
      </c>
      <c r="T28" s="91" t="n">
        <f aca="false">SUM(G7,G9,G11,G14,G17,G19,G21,G22,G23,G24,G25,G26,G27,G28,G29)</f>
        <v>0</v>
      </c>
      <c r="U28" s="91" t="n">
        <f aca="false">SUM(H7,H9,H11,H14,H17,H19,H21,H22,H23,H24,H25,H26,H27,H28,H29)</f>
        <v>0</v>
      </c>
      <c r="V28" s="91" t="n">
        <f aca="false">SUM(I7,I9,I11,I14,I17,I19,I21,I22,I23,I24,I25,I26,I27,I28,I29)</f>
        <v>0</v>
      </c>
      <c r="W28" s="91" t="n">
        <f aca="false">SUM(J7,J9,J11,J14,J17,J19,J21,J22,J23,J24,J25,J26,J27,J28,J29)</f>
        <v>0</v>
      </c>
      <c r="X28" s="91" t="n">
        <f aca="false">SUM(K7,K9,K11,K14,K17,K19,K21,K22,K23,K24,K25,K26,K27,K28,K29)</f>
        <v>0</v>
      </c>
      <c r="Y28" s="91" t="n">
        <f aca="false">SUM(L7,L9,L11,L14,L17,L19,L21,L22,L23,L24,L25,L26,L27,L28,L29)</f>
        <v>0</v>
      </c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</row>
    <row r="29" customFormat="false" ht="16.15" hidden="false" customHeight="true" outlineLevel="0" collapsed="false">
      <c r="A29" s="82" t="s">
        <v>64</v>
      </c>
      <c r="B29" s="83"/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23"/>
      <c r="N29" s="94" t="s">
        <v>65</v>
      </c>
      <c r="O29" s="95" t="n">
        <f aca="false">IF(O28&lt;=O26, O28, O26+(O28-O26)/2)</f>
        <v>0</v>
      </c>
      <c r="P29" s="95" t="n">
        <f aca="false">IF(P28&lt;=P26, P28, P26+(P28-P26)/2)</f>
        <v>0</v>
      </c>
      <c r="Q29" s="95" t="n">
        <f aca="false">IF(Q28&lt;=Q26, Q28, Q26+(Q28-Q26)/2)</f>
        <v>0</v>
      </c>
      <c r="R29" s="95" t="n">
        <f aca="false">IF(R28&lt;=R26, R28, R26+(R28-R26)/2)</f>
        <v>0</v>
      </c>
      <c r="S29" s="95" t="n">
        <f aca="false">IF(S28&lt;=S26, S28, S26+(S28-S26)/2)</f>
        <v>0</v>
      </c>
      <c r="T29" s="95" t="n">
        <f aca="false">IF(T28&lt;=T26, T28, T26+(T28-T26)/2)</f>
        <v>0</v>
      </c>
      <c r="U29" s="95" t="n">
        <f aca="false">IF(U28&lt;=U26, U28, U26+(U28-U26)/2)</f>
        <v>0</v>
      </c>
      <c r="V29" s="95" t="n">
        <f aca="false">IF(V28&lt;=V26, V28, V26+(V28-V26)/2)</f>
        <v>0</v>
      </c>
      <c r="W29" s="95" t="n">
        <f aca="false">IF(W28&lt;=W26, W28, W26+(W28-W26)/2)</f>
        <v>0</v>
      </c>
      <c r="X29" s="95" t="n">
        <f aca="false">IF(X28&lt;=X26, X28, X26+(X28-X26)/2)</f>
        <v>0</v>
      </c>
      <c r="Y29" s="95" t="n">
        <f aca="false">IF(Y28&lt;=Y26, Y28, Y26+(Y28-Y26)/2)</f>
        <v>0</v>
      </c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</row>
    <row r="30" customFormat="false" ht="16.15" hidden="false" customHeight="true" outlineLevel="0" collapsed="false">
      <c r="A30" s="96"/>
      <c r="B30" s="29"/>
      <c r="C30" s="29"/>
      <c r="D30" s="29"/>
      <c r="E30" s="97"/>
      <c r="F30" s="97"/>
      <c r="G30" s="97"/>
      <c r="H30" s="39"/>
      <c r="I30" s="39"/>
      <c r="J30" s="39"/>
      <c r="K30" s="39"/>
      <c r="L30" s="98"/>
      <c r="M30" s="23"/>
      <c r="N30" s="26"/>
      <c r="O30" s="99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</row>
    <row r="31" customFormat="false" ht="16.15" hidden="false" customHeight="true" outlineLevel="0" collapsed="false">
      <c r="A31" s="96"/>
      <c r="B31" s="29"/>
      <c r="C31" s="29"/>
      <c r="D31" s="29"/>
      <c r="E31" s="97"/>
      <c r="F31" s="97"/>
      <c r="G31" s="97"/>
      <c r="H31" s="39"/>
      <c r="I31" s="39"/>
      <c r="J31" s="39"/>
      <c r="K31" s="39"/>
      <c r="L31" s="98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</row>
    <row r="32" customFormat="false" ht="16.15" hidden="false" customHeight="true" outlineLevel="0" collapsed="false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3"/>
      <c r="N32" s="26"/>
      <c r="O32" s="99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</row>
    <row r="33" customFormat="false" ht="16.15" hidden="false" customHeight="true" outlineLevel="0" collapsed="false">
      <c r="A33" s="96"/>
      <c r="B33" s="29"/>
      <c r="C33" s="29"/>
      <c r="D33" s="29"/>
      <c r="E33" s="97"/>
      <c r="F33" s="97"/>
      <c r="G33" s="97"/>
      <c r="H33" s="39"/>
      <c r="I33" s="39"/>
      <c r="J33" s="39"/>
      <c r="K33" s="39"/>
      <c r="L33" s="98"/>
      <c r="M33" s="23"/>
      <c r="N33" s="26"/>
      <c r="O33" s="99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</row>
    <row r="34" customFormat="false" ht="16.15" hidden="false" customHeight="true" outlineLevel="0" collapsed="false">
      <c r="A34" s="96"/>
      <c r="B34" s="29"/>
      <c r="C34" s="29"/>
      <c r="D34" s="29"/>
      <c r="E34" s="97"/>
      <c r="F34" s="97"/>
      <c r="G34" s="97"/>
      <c r="H34" s="39"/>
      <c r="I34" s="39"/>
      <c r="J34" s="39"/>
      <c r="K34" s="39"/>
      <c r="L34" s="98"/>
      <c r="M34" s="23"/>
      <c r="N34" s="26"/>
      <c r="O34" s="99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</row>
    <row r="35" customFormat="false" ht="16.15" hidden="false" customHeight="true" outlineLevel="0" collapsed="false">
      <c r="A35" s="96"/>
      <c r="B35" s="29"/>
      <c r="C35" s="29"/>
      <c r="D35" s="29"/>
      <c r="E35" s="97"/>
      <c r="F35" s="97"/>
      <c r="G35" s="97"/>
      <c r="H35" s="39"/>
      <c r="I35" s="39"/>
      <c r="J35" s="39"/>
      <c r="K35" s="39"/>
      <c r="L35" s="98"/>
      <c r="M35" s="23"/>
      <c r="N35" s="26"/>
      <c r="O35" s="99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</row>
    <row r="36" customFormat="false" ht="16.15" hidden="false" customHeight="true" outlineLevel="0" collapsed="false">
      <c r="A36" s="96"/>
      <c r="B36" s="29"/>
      <c r="C36" s="29"/>
      <c r="D36" s="29"/>
      <c r="E36" s="97"/>
      <c r="F36" s="97"/>
      <c r="G36" s="97"/>
      <c r="H36" s="39"/>
      <c r="I36" s="39"/>
      <c r="J36" s="39"/>
      <c r="K36" s="39"/>
      <c r="L36" s="98"/>
      <c r="M36" s="23"/>
      <c r="N36" s="29"/>
      <c r="O36" s="12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</row>
    <row r="37" customFormat="false" ht="16.15" hidden="false" customHeight="true" outlineLevel="0" collapsed="false">
      <c r="A37" s="96"/>
      <c r="B37" s="29"/>
      <c r="C37" s="29"/>
      <c r="D37" s="29"/>
      <c r="E37" s="97"/>
      <c r="F37" s="97"/>
      <c r="G37" s="97"/>
      <c r="H37" s="39"/>
      <c r="I37" s="39"/>
      <c r="J37" s="39"/>
      <c r="K37" s="39"/>
      <c r="L37" s="98"/>
      <c r="M37" s="23"/>
      <c r="N37" s="29"/>
      <c r="O37" s="12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</row>
    <row r="38" customFormat="false" ht="16.15" hidden="false" customHeight="true" outlineLevel="0" collapsed="false">
      <c r="A38" s="96"/>
      <c r="B38" s="29"/>
      <c r="C38" s="29"/>
      <c r="D38" s="29"/>
      <c r="E38" s="97"/>
      <c r="F38" s="97"/>
      <c r="G38" s="97"/>
      <c r="H38" s="39"/>
      <c r="I38" s="39"/>
      <c r="J38" s="39"/>
      <c r="K38" s="39"/>
      <c r="L38" s="98"/>
      <c r="M38" s="23"/>
      <c r="N38" s="29"/>
      <c r="O38" s="12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</row>
    <row r="39" customFormat="false" ht="16.15" hidden="false" customHeight="true" outlineLevel="0" collapsed="false">
      <c r="A39" s="96"/>
      <c r="B39" s="29"/>
      <c r="C39" s="29"/>
      <c r="D39" s="29"/>
      <c r="E39" s="97"/>
      <c r="F39" s="97"/>
      <c r="G39" s="97"/>
      <c r="H39" s="39"/>
      <c r="I39" s="39"/>
      <c r="J39" s="39"/>
      <c r="K39" s="39"/>
      <c r="L39" s="98"/>
      <c r="M39" s="23"/>
      <c r="N39" s="29"/>
      <c r="O39" s="12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</row>
    <row r="40" customFormat="false" ht="16.15" hidden="false" customHeight="true" outlineLevel="0" collapsed="false">
      <c r="A40" s="96"/>
      <c r="B40" s="29"/>
      <c r="C40" s="29"/>
      <c r="D40" s="29"/>
      <c r="E40" s="97"/>
      <c r="F40" s="97"/>
      <c r="G40" s="97"/>
      <c r="H40" s="39"/>
      <c r="I40" s="39"/>
      <c r="J40" s="39"/>
      <c r="K40" s="39"/>
      <c r="L40" s="98"/>
      <c r="M40" s="23"/>
      <c r="N40" s="29"/>
      <c r="O40" s="12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</row>
    <row r="41" customFormat="false" ht="16.15" hidden="false" customHeight="true" outlineLevel="0" collapsed="false">
      <c r="A41" s="96"/>
      <c r="B41" s="29"/>
      <c r="C41" s="29"/>
      <c r="D41" s="29"/>
      <c r="E41" s="97"/>
      <c r="F41" s="97"/>
      <c r="G41" s="97"/>
      <c r="H41" s="39"/>
      <c r="I41" s="39"/>
      <c r="J41" s="39"/>
      <c r="K41" s="39"/>
      <c r="L41" s="98"/>
      <c r="M41" s="23"/>
      <c r="N41" s="29"/>
      <c r="O41" s="12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</row>
    <row r="42" customFormat="false" ht="16.15" hidden="false" customHeight="true" outlineLevel="0" collapsed="false">
      <c r="A42" s="96"/>
      <c r="B42" s="29"/>
      <c r="C42" s="29"/>
      <c r="D42" s="29"/>
      <c r="E42" s="97"/>
      <c r="F42" s="97"/>
      <c r="G42" s="97"/>
      <c r="H42" s="39"/>
      <c r="I42" s="39"/>
      <c r="J42" s="39"/>
      <c r="K42" s="39"/>
      <c r="L42" s="98"/>
      <c r="M42" s="23"/>
      <c r="N42" s="29"/>
      <c r="O42" s="12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</row>
    <row r="43" customFormat="false" ht="16.15" hidden="false" customHeight="true" outlineLevel="0" collapsed="false">
      <c r="A43" s="96"/>
      <c r="B43" s="29"/>
      <c r="C43" s="29"/>
      <c r="D43" s="29"/>
      <c r="E43" s="97"/>
      <c r="F43" s="97"/>
      <c r="G43" s="97"/>
      <c r="H43" s="39"/>
      <c r="I43" s="39"/>
      <c r="J43" s="39"/>
      <c r="K43" s="39"/>
      <c r="L43" s="98"/>
      <c r="M43" s="23"/>
      <c r="N43" s="29"/>
      <c r="O43" s="12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</row>
    <row r="44" customFormat="false" ht="16.15" hidden="false" customHeight="true" outlineLevel="0" collapsed="false">
      <c r="A44" s="96"/>
      <c r="B44" s="29"/>
      <c r="C44" s="29"/>
      <c r="D44" s="29"/>
      <c r="E44" s="97"/>
      <c r="F44" s="97"/>
      <c r="G44" s="97"/>
      <c r="H44" s="39"/>
      <c r="I44" s="39"/>
      <c r="J44" s="39"/>
      <c r="K44" s="39"/>
      <c r="L44" s="98"/>
      <c r="M44" s="23"/>
      <c r="N44" s="29"/>
      <c r="O44" s="12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</row>
    <row r="45" customFormat="false" ht="16.15" hidden="false" customHeight="true" outlineLevel="0" collapsed="false">
      <c r="A45" s="96"/>
      <c r="B45" s="29"/>
      <c r="C45" s="29"/>
      <c r="D45" s="29"/>
      <c r="E45" s="97"/>
      <c r="F45" s="97"/>
      <c r="G45" s="97"/>
      <c r="H45" s="39"/>
      <c r="I45" s="39"/>
      <c r="J45" s="39"/>
      <c r="K45" s="39"/>
      <c r="L45" s="98"/>
      <c r="M45" s="23"/>
      <c r="N45" s="29"/>
      <c r="O45" s="12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</row>
    <row r="46" customFormat="false" ht="16.15" hidden="false" customHeight="true" outlineLevel="0" collapsed="false">
      <c r="A46" s="96"/>
      <c r="B46" s="29"/>
      <c r="C46" s="29"/>
      <c r="D46" s="29"/>
      <c r="E46" s="97"/>
      <c r="F46" s="97"/>
      <c r="G46" s="97"/>
      <c r="H46" s="39"/>
      <c r="I46" s="39"/>
      <c r="J46" s="39"/>
      <c r="K46" s="39"/>
      <c r="L46" s="98"/>
      <c r="M46" s="23"/>
      <c r="N46" s="29"/>
      <c r="O46" s="12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</row>
    <row r="47" customFormat="false" ht="16.15" hidden="false" customHeight="true" outlineLevel="0" collapsed="false">
      <c r="A47" s="96"/>
      <c r="B47" s="29"/>
      <c r="C47" s="29"/>
      <c r="D47" s="29"/>
      <c r="E47" s="97"/>
      <c r="F47" s="97"/>
      <c r="G47" s="97"/>
      <c r="H47" s="39"/>
      <c r="I47" s="39"/>
      <c r="J47" s="39"/>
      <c r="K47" s="39"/>
      <c r="L47" s="98"/>
      <c r="M47" s="23"/>
      <c r="N47" s="29"/>
      <c r="O47" s="12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</row>
    <row r="48" customFormat="false" ht="16.15" hidden="false" customHeight="true" outlineLevel="0" collapsed="false">
      <c r="A48" s="96"/>
      <c r="B48" s="29"/>
      <c r="C48" s="29"/>
      <c r="D48" s="29"/>
      <c r="E48" s="97"/>
      <c r="F48" s="97"/>
      <c r="G48" s="97"/>
      <c r="H48" s="39"/>
      <c r="I48" s="39"/>
      <c r="J48" s="39"/>
      <c r="K48" s="39"/>
      <c r="L48" s="98"/>
      <c r="M48" s="23"/>
      <c r="N48" s="29"/>
      <c r="O48" s="12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</row>
    <row r="49" customFormat="false" ht="16.15" hidden="false" customHeight="true" outlineLevel="0" collapsed="false">
      <c r="A49" s="96"/>
      <c r="B49" s="29"/>
      <c r="C49" s="29"/>
      <c r="D49" s="29"/>
      <c r="E49" s="97"/>
      <c r="F49" s="97"/>
      <c r="G49" s="97"/>
      <c r="H49" s="39"/>
      <c r="I49" s="39"/>
      <c r="J49" s="39"/>
      <c r="K49" s="39"/>
      <c r="L49" s="98"/>
      <c r="M49" s="23"/>
      <c r="N49" s="29"/>
      <c r="O49" s="12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</row>
    <row r="50" customFormat="false" ht="16.15" hidden="false" customHeight="true" outlineLevel="0" collapsed="false">
      <c r="A50" s="96"/>
      <c r="B50" s="29"/>
      <c r="C50" s="29"/>
      <c r="D50" s="29"/>
      <c r="E50" s="97"/>
      <c r="F50" s="97"/>
      <c r="G50" s="97"/>
      <c r="H50" s="39"/>
      <c r="I50" s="39"/>
      <c r="J50" s="39"/>
      <c r="K50" s="39"/>
      <c r="L50" s="98"/>
      <c r="M50" s="23"/>
      <c r="N50" s="29"/>
      <c r="O50" s="12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</row>
    <row r="51" customFormat="false" ht="16.15" hidden="false" customHeight="true" outlineLevel="0" collapsed="false">
      <c r="A51" s="96"/>
      <c r="B51" s="29"/>
      <c r="C51" s="29"/>
      <c r="D51" s="29"/>
      <c r="E51" s="97"/>
      <c r="F51" s="97"/>
      <c r="G51" s="97"/>
      <c r="H51" s="39"/>
      <c r="I51" s="39"/>
      <c r="J51" s="39"/>
      <c r="K51" s="39"/>
      <c r="L51" s="98"/>
      <c r="M51" s="23"/>
      <c r="N51" s="29"/>
      <c r="O51" s="12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</row>
    <row r="52" customFormat="false" ht="16.15" hidden="false" customHeight="true" outlineLevel="0" collapsed="false">
      <c r="A52" s="96"/>
      <c r="B52" s="29"/>
      <c r="C52" s="29"/>
      <c r="D52" s="29"/>
      <c r="E52" s="97"/>
      <c r="F52" s="97"/>
      <c r="G52" s="97"/>
      <c r="H52" s="39"/>
      <c r="I52" s="39"/>
      <c r="J52" s="39"/>
      <c r="K52" s="39"/>
      <c r="L52" s="98"/>
      <c r="M52" s="23"/>
      <c r="N52" s="29"/>
      <c r="O52" s="12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</row>
    <row r="53" customFormat="false" ht="16.15" hidden="false" customHeight="true" outlineLevel="0" collapsed="false">
      <c r="A53" s="96"/>
      <c r="B53" s="29"/>
      <c r="C53" s="29"/>
      <c r="D53" s="29"/>
      <c r="E53" s="97"/>
      <c r="F53" s="97"/>
      <c r="G53" s="97"/>
      <c r="H53" s="39"/>
      <c r="I53" s="39"/>
      <c r="J53" s="39"/>
      <c r="K53" s="39"/>
      <c r="L53" s="98"/>
      <c r="M53" s="23"/>
      <c r="N53" s="29"/>
      <c r="O53" s="12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</row>
    <row r="54" customFormat="false" ht="16.15" hidden="false" customHeight="true" outlineLevel="0" collapsed="false">
      <c r="A54" s="96"/>
      <c r="B54" s="29"/>
      <c r="C54" s="29"/>
      <c r="D54" s="29"/>
      <c r="E54" s="97"/>
      <c r="F54" s="97"/>
      <c r="G54" s="97"/>
      <c r="H54" s="39"/>
      <c r="I54" s="39"/>
      <c r="J54" s="39"/>
      <c r="K54" s="39"/>
      <c r="L54" s="98"/>
      <c r="M54" s="23"/>
      <c r="N54" s="29"/>
      <c r="O54" s="12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</row>
    <row r="55" customFormat="false" ht="16.15" hidden="false" customHeight="true" outlineLevel="0" collapsed="false">
      <c r="A55" s="96"/>
      <c r="B55" s="29"/>
      <c r="C55" s="29"/>
      <c r="D55" s="29"/>
      <c r="E55" s="97"/>
      <c r="F55" s="97"/>
      <c r="G55" s="97"/>
      <c r="H55" s="39"/>
      <c r="I55" s="39"/>
      <c r="J55" s="39"/>
      <c r="K55" s="39"/>
      <c r="L55" s="98"/>
      <c r="M55" s="23"/>
      <c r="N55" s="29"/>
      <c r="O55" s="12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</row>
    <row r="56" customFormat="false" ht="16.15" hidden="false" customHeight="true" outlineLevel="0" collapsed="false">
      <c r="A56" s="96"/>
      <c r="B56" s="29"/>
      <c r="C56" s="29"/>
      <c r="D56" s="29"/>
      <c r="E56" s="97"/>
      <c r="F56" s="97"/>
      <c r="G56" s="97"/>
      <c r="H56" s="39"/>
      <c r="I56" s="39"/>
      <c r="J56" s="39"/>
      <c r="K56" s="39"/>
      <c r="L56" s="98"/>
      <c r="M56" s="23"/>
      <c r="N56" s="29"/>
      <c r="O56" s="12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</row>
    <row r="57" customFormat="false" ht="16.15" hidden="false" customHeight="true" outlineLevel="0" collapsed="false">
      <c r="A57" s="96"/>
      <c r="B57" s="29"/>
      <c r="C57" s="29"/>
      <c r="D57" s="29"/>
      <c r="E57" s="97"/>
      <c r="F57" s="97"/>
      <c r="G57" s="97"/>
      <c r="H57" s="39"/>
      <c r="I57" s="39"/>
      <c r="J57" s="39"/>
      <c r="K57" s="39"/>
      <c r="L57" s="98"/>
      <c r="M57" s="23"/>
      <c r="N57" s="29"/>
      <c r="O57" s="12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</row>
    <row r="58" customFormat="false" ht="16.15" hidden="false" customHeight="true" outlineLevel="0" collapsed="false">
      <c r="A58" s="96"/>
      <c r="B58" s="29"/>
      <c r="C58" s="29"/>
      <c r="D58" s="29"/>
      <c r="E58" s="97"/>
      <c r="F58" s="97"/>
      <c r="G58" s="97"/>
      <c r="H58" s="39"/>
      <c r="I58" s="39"/>
      <c r="J58" s="39"/>
      <c r="K58" s="39"/>
      <c r="L58" s="98"/>
      <c r="M58" s="23"/>
      <c r="N58" s="29"/>
      <c r="O58" s="12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</row>
    <row r="59" customFormat="false" ht="16.15" hidden="false" customHeight="true" outlineLevel="0" collapsed="false">
      <c r="A59" s="96"/>
      <c r="B59" s="29"/>
      <c r="C59" s="29"/>
      <c r="D59" s="29"/>
      <c r="E59" s="97"/>
      <c r="F59" s="97"/>
      <c r="G59" s="97"/>
      <c r="H59" s="39"/>
      <c r="I59" s="39"/>
      <c r="J59" s="39"/>
      <c r="K59" s="39"/>
      <c r="L59" s="98"/>
      <c r="M59" s="23"/>
      <c r="N59" s="29"/>
      <c r="O59" s="12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</row>
    <row r="60" customFormat="false" ht="16.15" hidden="false" customHeight="true" outlineLevel="0" collapsed="false">
      <c r="A60" s="96"/>
      <c r="B60" s="29"/>
      <c r="C60" s="29"/>
      <c r="D60" s="29"/>
      <c r="E60" s="97"/>
      <c r="F60" s="97"/>
      <c r="G60" s="97"/>
      <c r="H60" s="39"/>
      <c r="I60" s="39"/>
      <c r="J60" s="39"/>
      <c r="K60" s="39"/>
      <c r="L60" s="98"/>
      <c r="M60" s="23"/>
      <c r="N60" s="29"/>
      <c r="O60" s="12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</row>
    <row r="61" customFormat="false" ht="16.15" hidden="false" customHeight="true" outlineLevel="0" collapsed="false">
      <c r="A61" s="96"/>
      <c r="B61" s="29"/>
      <c r="C61" s="29"/>
      <c r="D61" s="29"/>
      <c r="E61" s="97"/>
      <c r="F61" s="97"/>
      <c r="G61" s="97"/>
      <c r="H61" s="39"/>
      <c r="I61" s="39"/>
      <c r="J61" s="39"/>
      <c r="K61" s="39"/>
      <c r="L61" s="98"/>
      <c r="M61" s="23"/>
      <c r="N61" s="29"/>
      <c r="O61" s="12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</row>
    <row r="62" customFormat="false" ht="16.15" hidden="false" customHeight="true" outlineLevel="0" collapsed="false">
      <c r="A62" s="96"/>
      <c r="B62" s="29"/>
      <c r="C62" s="29"/>
      <c r="D62" s="29"/>
      <c r="E62" s="97"/>
      <c r="F62" s="97"/>
      <c r="G62" s="97"/>
      <c r="H62" s="39"/>
      <c r="I62" s="39"/>
      <c r="J62" s="39"/>
      <c r="K62" s="39"/>
      <c r="L62" s="98"/>
      <c r="M62" s="23"/>
      <c r="N62" s="29"/>
      <c r="O62" s="12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</row>
    <row r="63" customFormat="false" ht="16.15" hidden="false" customHeight="true" outlineLevel="0" collapsed="false">
      <c r="A63" s="96"/>
      <c r="B63" s="29"/>
      <c r="C63" s="29"/>
      <c r="D63" s="29"/>
      <c r="E63" s="97"/>
      <c r="F63" s="97"/>
      <c r="G63" s="97"/>
      <c r="H63" s="39"/>
      <c r="I63" s="39"/>
      <c r="J63" s="39"/>
      <c r="K63" s="39"/>
      <c r="L63" s="98"/>
      <c r="M63" s="23"/>
      <c r="N63" s="29"/>
      <c r="O63" s="12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</row>
    <row r="64" customFormat="false" ht="16.15" hidden="false" customHeight="true" outlineLevel="0" collapsed="false">
      <c r="A64" s="96"/>
      <c r="B64" s="29"/>
      <c r="C64" s="29"/>
      <c r="D64" s="29"/>
      <c r="E64" s="97"/>
      <c r="F64" s="97"/>
      <c r="G64" s="97"/>
      <c r="H64" s="39"/>
      <c r="I64" s="39"/>
      <c r="J64" s="39"/>
      <c r="K64" s="39"/>
      <c r="L64" s="98"/>
      <c r="M64" s="23"/>
      <c r="N64" s="29"/>
      <c r="O64" s="12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</row>
    <row r="65" customFormat="false" ht="16.15" hidden="false" customHeight="true" outlineLevel="0" collapsed="false">
      <c r="A65" s="96"/>
      <c r="B65" s="29"/>
      <c r="C65" s="29"/>
      <c r="D65" s="29"/>
      <c r="E65" s="97"/>
      <c r="F65" s="97"/>
      <c r="G65" s="97"/>
      <c r="H65" s="39"/>
      <c r="I65" s="39"/>
      <c r="J65" s="39"/>
      <c r="K65" s="39"/>
      <c r="L65" s="98"/>
      <c r="M65" s="23"/>
      <c r="N65" s="29"/>
      <c r="O65" s="12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</row>
    <row r="66" customFormat="false" ht="16.15" hidden="false" customHeight="true" outlineLevel="0" collapsed="false">
      <c r="A66" s="96"/>
      <c r="B66" s="29"/>
      <c r="C66" s="29"/>
      <c r="D66" s="29"/>
      <c r="E66" s="97"/>
      <c r="F66" s="97"/>
      <c r="G66" s="97"/>
      <c r="H66" s="39"/>
      <c r="I66" s="39"/>
      <c r="J66" s="39"/>
      <c r="K66" s="39"/>
      <c r="L66" s="98"/>
      <c r="M66" s="23"/>
      <c r="N66" s="29"/>
      <c r="O66" s="12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</row>
    <row r="67" customFormat="false" ht="16.15" hidden="false" customHeight="true" outlineLevel="0" collapsed="false">
      <c r="A67" s="96"/>
      <c r="B67" s="29"/>
      <c r="C67" s="29"/>
      <c r="D67" s="29"/>
      <c r="E67" s="97"/>
      <c r="F67" s="97"/>
      <c r="G67" s="97"/>
      <c r="H67" s="39"/>
      <c r="I67" s="39"/>
      <c r="J67" s="39"/>
      <c r="K67" s="39"/>
      <c r="L67" s="98"/>
      <c r="M67" s="23"/>
      <c r="N67" s="29"/>
      <c r="O67" s="12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</row>
    <row r="68" customFormat="false" ht="16.15" hidden="false" customHeight="true" outlineLevel="0" collapsed="false">
      <c r="A68" s="96"/>
      <c r="B68" s="29"/>
      <c r="C68" s="29"/>
      <c r="D68" s="29"/>
      <c r="E68" s="97"/>
      <c r="F68" s="97"/>
      <c r="G68" s="97"/>
      <c r="H68" s="39"/>
      <c r="I68" s="39"/>
      <c r="J68" s="39"/>
      <c r="K68" s="39"/>
      <c r="L68" s="98"/>
      <c r="M68" s="23"/>
      <c r="N68" s="29"/>
      <c r="O68" s="12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</row>
    <row r="69" customFormat="false" ht="16.15" hidden="false" customHeight="true" outlineLevel="0" collapsed="false">
      <c r="A69" s="96"/>
      <c r="B69" s="29"/>
      <c r="C69" s="29"/>
      <c r="D69" s="29"/>
      <c r="E69" s="97"/>
      <c r="F69" s="97"/>
      <c r="G69" s="97"/>
      <c r="H69" s="39"/>
      <c r="I69" s="39"/>
      <c r="J69" s="39"/>
      <c r="K69" s="39"/>
      <c r="L69" s="98"/>
      <c r="M69" s="23"/>
      <c r="N69" s="29"/>
      <c r="O69" s="12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</row>
    <row r="70" customFormat="false" ht="16.15" hidden="false" customHeight="true" outlineLevel="0" collapsed="false">
      <c r="A70" s="96"/>
      <c r="B70" s="29"/>
      <c r="C70" s="29"/>
      <c r="D70" s="29"/>
      <c r="E70" s="97"/>
      <c r="F70" s="97"/>
      <c r="G70" s="97"/>
      <c r="H70" s="39"/>
      <c r="I70" s="39"/>
      <c r="J70" s="39"/>
      <c r="K70" s="39"/>
      <c r="L70" s="98"/>
      <c r="M70" s="23"/>
      <c r="N70" s="29"/>
      <c r="O70" s="12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</row>
    <row r="71" customFormat="false" ht="16.15" hidden="false" customHeight="true" outlineLevel="0" collapsed="false">
      <c r="A71" s="96"/>
      <c r="B71" s="29"/>
      <c r="C71" s="29"/>
      <c r="D71" s="29"/>
      <c r="E71" s="97"/>
      <c r="F71" s="97"/>
      <c r="G71" s="97"/>
      <c r="H71" s="39"/>
      <c r="I71" s="39"/>
      <c r="J71" s="39"/>
      <c r="K71" s="39"/>
      <c r="L71" s="98"/>
      <c r="M71" s="23"/>
      <c r="N71" s="29"/>
      <c r="O71" s="12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</row>
    <row r="72" customFormat="false" ht="16.15" hidden="false" customHeight="true" outlineLevel="0" collapsed="false">
      <c r="A72" s="96"/>
      <c r="B72" s="29"/>
      <c r="C72" s="29"/>
      <c r="D72" s="29"/>
      <c r="E72" s="97"/>
      <c r="F72" s="97"/>
      <c r="G72" s="97"/>
      <c r="H72" s="39"/>
      <c r="I72" s="39"/>
      <c r="J72" s="39"/>
      <c r="K72" s="39"/>
      <c r="L72" s="98"/>
      <c r="M72" s="23"/>
      <c r="N72" s="29"/>
      <c r="O72" s="12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</row>
    <row r="73" customFormat="false" ht="16.15" hidden="false" customHeight="true" outlineLevel="0" collapsed="false">
      <c r="A73" s="96"/>
      <c r="B73" s="29"/>
      <c r="C73" s="29"/>
      <c r="D73" s="29"/>
      <c r="E73" s="97"/>
      <c r="F73" s="97"/>
      <c r="G73" s="97"/>
      <c r="H73" s="39"/>
      <c r="I73" s="39"/>
      <c r="J73" s="39"/>
      <c r="K73" s="39"/>
      <c r="L73" s="98"/>
      <c r="M73" s="23"/>
      <c r="N73" s="29"/>
      <c r="O73" s="12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</row>
    <row r="74" customFormat="false" ht="16.15" hidden="false" customHeight="true" outlineLevel="0" collapsed="false">
      <c r="A74" s="96"/>
      <c r="B74" s="29"/>
      <c r="C74" s="29"/>
      <c r="D74" s="29"/>
      <c r="E74" s="97"/>
      <c r="F74" s="97"/>
      <c r="G74" s="97"/>
      <c r="H74" s="39"/>
      <c r="I74" s="39"/>
      <c r="J74" s="39"/>
      <c r="K74" s="39"/>
      <c r="L74" s="98"/>
      <c r="M74" s="23"/>
      <c r="N74" s="29"/>
      <c r="O74" s="12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</row>
    <row r="75" customFormat="false" ht="16.15" hidden="false" customHeight="true" outlineLevel="0" collapsed="false">
      <c r="A75" s="96"/>
      <c r="B75" s="29"/>
      <c r="C75" s="29"/>
      <c r="D75" s="29"/>
      <c r="E75" s="97"/>
      <c r="F75" s="97"/>
      <c r="G75" s="97"/>
      <c r="H75" s="39"/>
      <c r="I75" s="39"/>
      <c r="J75" s="39"/>
      <c r="K75" s="39"/>
      <c r="L75" s="98"/>
      <c r="M75" s="23"/>
      <c r="N75" s="29"/>
      <c r="O75" s="12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</row>
    <row r="76" customFormat="false" ht="16.15" hidden="false" customHeight="true" outlineLevel="0" collapsed="false">
      <c r="A76" s="96"/>
      <c r="B76" s="29"/>
      <c r="C76" s="29"/>
      <c r="D76" s="29"/>
      <c r="E76" s="97"/>
      <c r="F76" s="97"/>
      <c r="G76" s="97"/>
      <c r="H76" s="39"/>
      <c r="I76" s="39"/>
      <c r="J76" s="39"/>
      <c r="K76" s="39"/>
      <c r="L76" s="98"/>
      <c r="M76" s="23"/>
      <c r="N76" s="29"/>
      <c r="O76" s="12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</row>
    <row r="77" customFormat="false" ht="16.15" hidden="false" customHeight="true" outlineLevel="0" collapsed="false">
      <c r="A77" s="96"/>
      <c r="B77" s="29"/>
      <c r="C77" s="29"/>
      <c r="D77" s="29"/>
      <c r="E77" s="97"/>
      <c r="F77" s="97"/>
      <c r="G77" s="97"/>
      <c r="H77" s="39"/>
      <c r="I77" s="39"/>
      <c r="J77" s="39"/>
      <c r="K77" s="39"/>
      <c r="L77" s="98"/>
      <c r="M77" s="23"/>
      <c r="N77" s="29"/>
      <c r="O77" s="12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</row>
    <row r="78" customFormat="false" ht="16.15" hidden="false" customHeight="true" outlineLevel="0" collapsed="false">
      <c r="A78" s="96"/>
      <c r="B78" s="29"/>
      <c r="C78" s="29"/>
      <c r="D78" s="29"/>
      <c r="E78" s="97"/>
      <c r="F78" s="97"/>
      <c r="G78" s="97"/>
      <c r="H78" s="39"/>
      <c r="I78" s="39"/>
      <c r="J78" s="39"/>
      <c r="K78" s="39"/>
      <c r="L78" s="98"/>
      <c r="M78" s="23"/>
      <c r="N78" s="29"/>
      <c r="O78" s="12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</row>
    <row r="79" customFormat="false" ht="16.15" hidden="false" customHeight="true" outlineLevel="0" collapsed="false">
      <c r="A79" s="96"/>
      <c r="B79" s="29"/>
      <c r="C79" s="29"/>
      <c r="D79" s="29"/>
      <c r="E79" s="97"/>
      <c r="F79" s="97"/>
      <c r="G79" s="97"/>
      <c r="H79" s="39"/>
      <c r="I79" s="39"/>
      <c r="J79" s="39"/>
      <c r="K79" s="39"/>
      <c r="L79" s="98"/>
      <c r="M79" s="23"/>
      <c r="N79" s="29"/>
      <c r="O79" s="12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</row>
    <row r="80" customFormat="false" ht="16.15" hidden="false" customHeight="true" outlineLevel="0" collapsed="false">
      <c r="A80" s="96"/>
      <c r="B80" s="29"/>
      <c r="C80" s="29"/>
      <c r="D80" s="29"/>
      <c r="E80" s="97"/>
      <c r="F80" s="97"/>
      <c r="G80" s="97"/>
      <c r="H80" s="39"/>
      <c r="I80" s="39"/>
      <c r="J80" s="39"/>
      <c r="K80" s="39"/>
      <c r="L80" s="98"/>
      <c r="M80" s="23"/>
      <c r="N80" s="29"/>
      <c r="O80" s="12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</row>
    <row r="81" customFormat="false" ht="16.15" hidden="false" customHeight="true" outlineLevel="0" collapsed="false">
      <c r="A81" s="96"/>
      <c r="B81" s="29"/>
      <c r="C81" s="29"/>
      <c r="D81" s="29"/>
      <c r="E81" s="97"/>
      <c r="F81" s="97"/>
      <c r="G81" s="97"/>
      <c r="H81" s="39"/>
      <c r="I81" s="39"/>
      <c r="J81" s="39"/>
      <c r="K81" s="39"/>
      <c r="L81" s="98"/>
      <c r="M81" s="23"/>
      <c r="N81" s="29"/>
      <c r="O81" s="12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</row>
    <row r="82" customFormat="false" ht="16.15" hidden="false" customHeight="true" outlineLevel="0" collapsed="false">
      <c r="A82" s="96"/>
      <c r="B82" s="29"/>
      <c r="C82" s="29"/>
      <c r="D82" s="29"/>
      <c r="E82" s="97"/>
      <c r="F82" s="97"/>
      <c r="G82" s="97"/>
      <c r="H82" s="39"/>
      <c r="I82" s="39"/>
      <c r="J82" s="39"/>
      <c r="K82" s="39"/>
      <c r="L82" s="98"/>
      <c r="M82" s="23"/>
      <c r="N82" s="29"/>
      <c r="O82" s="12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</row>
    <row r="83" customFormat="false" ht="16.15" hidden="false" customHeight="true" outlineLevel="0" collapsed="false">
      <c r="A83" s="96"/>
      <c r="B83" s="29"/>
      <c r="C83" s="29"/>
      <c r="D83" s="29"/>
      <c r="E83" s="97"/>
      <c r="F83" s="97"/>
      <c r="G83" s="97"/>
      <c r="H83" s="39"/>
      <c r="I83" s="39"/>
      <c r="J83" s="39"/>
      <c r="K83" s="39"/>
      <c r="L83" s="98"/>
      <c r="M83" s="23"/>
      <c r="N83" s="29"/>
      <c r="O83" s="12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</row>
    <row r="84" customFormat="false" ht="16.15" hidden="false" customHeight="true" outlineLevel="0" collapsed="false">
      <c r="A84" s="96"/>
      <c r="B84" s="29"/>
      <c r="C84" s="29"/>
      <c r="D84" s="29"/>
      <c r="E84" s="97"/>
      <c r="F84" s="97"/>
      <c r="G84" s="97"/>
      <c r="H84" s="39"/>
      <c r="I84" s="39"/>
      <c r="J84" s="39"/>
      <c r="K84" s="39"/>
      <c r="L84" s="98"/>
      <c r="M84" s="23"/>
      <c r="N84" s="29"/>
      <c r="O84" s="12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</row>
    <row r="85" customFormat="false" ht="16.15" hidden="false" customHeight="true" outlineLevel="0" collapsed="false">
      <c r="A85" s="96"/>
      <c r="B85" s="29"/>
      <c r="C85" s="29"/>
      <c r="D85" s="29"/>
      <c r="E85" s="97"/>
      <c r="F85" s="97"/>
      <c r="G85" s="97"/>
      <c r="H85" s="39"/>
      <c r="I85" s="39"/>
      <c r="J85" s="39"/>
      <c r="K85" s="39"/>
      <c r="L85" s="98"/>
      <c r="M85" s="23"/>
      <c r="N85" s="29"/>
      <c r="O85" s="12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</row>
    <row r="86" customFormat="false" ht="16.15" hidden="false" customHeight="true" outlineLevel="0" collapsed="false">
      <c r="A86" s="96"/>
      <c r="B86" s="29"/>
      <c r="C86" s="29"/>
      <c r="D86" s="29"/>
      <c r="E86" s="97"/>
      <c r="F86" s="97"/>
      <c r="G86" s="97"/>
      <c r="H86" s="39"/>
      <c r="I86" s="39"/>
      <c r="J86" s="39"/>
      <c r="K86" s="39"/>
      <c r="L86" s="98"/>
      <c r="M86" s="23"/>
      <c r="N86" s="29"/>
      <c r="O86" s="12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</row>
    <row r="87" customFormat="false" ht="16.15" hidden="false" customHeight="true" outlineLevel="0" collapsed="false">
      <c r="A87" s="96"/>
      <c r="B87" s="29"/>
      <c r="C87" s="29"/>
      <c r="D87" s="29"/>
      <c r="E87" s="97"/>
      <c r="F87" s="97"/>
      <c r="G87" s="97"/>
      <c r="H87" s="39"/>
      <c r="I87" s="39"/>
      <c r="J87" s="39"/>
      <c r="K87" s="39"/>
      <c r="L87" s="98"/>
      <c r="M87" s="23"/>
      <c r="N87" s="29"/>
      <c r="O87" s="12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</row>
    <row r="88" customFormat="false" ht="16.15" hidden="false" customHeight="true" outlineLevel="0" collapsed="false">
      <c r="A88" s="96"/>
      <c r="B88" s="29"/>
      <c r="C88" s="29"/>
      <c r="D88" s="29"/>
      <c r="E88" s="97"/>
      <c r="F88" s="97"/>
      <c r="G88" s="97"/>
      <c r="H88" s="39"/>
      <c r="I88" s="39"/>
      <c r="J88" s="39"/>
      <c r="K88" s="39"/>
      <c r="L88" s="98"/>
      <c r="M88" s="23"/>
      <c r="N88" s="29"/>
      <c r="O88" s="12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</row>
    <row r="89" customFormat="false" ht="16.15" hidden="false" customHeight="true" outlineLevel="0" collapsed="false">
      <c r="A89" s="96"/>
      <c r="B89" s="29"/>
      <c r="C89" s="29"/>
      <c r="D89" s="29"/>
      <c r="E89" s="97"/>
      <c r="F89" s="97"/>
      <c r="G89" s="97"/>
      <c r="H89" s="39"/>
      <c r="I89" s="39"/>
      <c r="J89" s="39"/>
      <c r="K89" s="39"/>
      <c r="L89" s="98"/>
      <c r="M89" s="23"/>
      <c r="N89" s="29"/>
      <c r="O89" s="12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</row>
    <row r="90" customFormat="false" ht="16.15" hidden="false" customHeight="true" outlineLevel="0" collapsed="false">
      <c r="A90" s="96"/>
      <c r="B90" s="29"/>
      <c r="C90" s="29"/>
      <c r="D90" s="29"/>
      <c r="E90" s="97"/>
      <c r="F90" s="97"/>
      <c r="G90" s="97"/>
      <c r="H90" s="39"/>
      <c r="I90" s="39"/>
      <c r="J90" s="39"/>
      <c r="K90" s="39"/>
      <c r="L90" s="98"/>
      <c r="M90" s="23"/>
      <c r="N90" s="29"/>
      <c r="O90" s="12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</row>
    <row r="91" customFormat="false" ht="16.15" hidden="false" customHeight="true" outlineLevel="0" collapsed="false">
      <c r="A91" s="96"/>
      <c r="B91" s="29"/>
      <c r="C91" s="29"/>
      <c r="D91" s="29"/>
      <c r="E91" s="97"/>
      <c r="F91" s="97"/>
      <c r="G91" s="97"/>
      <c r="H91" s="39"/>
      <c r="I91" s="39"/>
      <c r="J91" s="39"/>
      <c r="K91" s="39"/>
      <c r="L91" s="98"/>
      <c r="M91" s="23"/>
      <c r="N91" s="29"/>
      <c r="O91" s="12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</row>
    <row r="92" customFormat="false" ht="16.15" hidden="false" customHeight="true" outlineLevel="0" collapsed="false">
      <c r="A92" s="96"/>
      <c r="B92" s="29"/>
      <c r="C92" s="29"/>
      <c r="D92" s="29"/>
      <c r="E92" s="97"/>
      <c r="F92" s="97"/>
      <c r="G92" s="97"/>
      <c r="H92" s="39"/>
      <c r="I92" s="39"/>
      <c r="J92" s="39"/>
      <c r="K92" s="39"/>
      <c r="L92" s="98"/>
      <c r="M92" s="23"/>
      <c r="N92" s="29"/>
      <c r="O92" s="12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</row>
    <row r="93" customFormat="false" ht="16.15" hidden="false" customHeight="true" outlineLevel="0" collapsed="false">
      <c r="A93" s="96"/>
      <c r="B93" s="29"/>
      <c r="C93" s="29"/>
      <c r="D93" s="29"/>
      <c r="E93" s="97"/>
      <c r="F93" s="97"/>
      <c r="G93" s="97"/>
      <c r="H93" s="39"/>
      <c r="I93" s="39"/>
      <c r="J93" s="39"/>
      <c r="K93" s="39"/>
      <c r="L93" s="98"/>
      <c r="M93" s="23"/>
      <c r="N93" s="29"/>
      <c r="O93" s="12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</row>
    <row r="94" customFormat="false" ht="16.15" hidden="false" customHeight="true" outlineLevel="0" collapsed="false">
      <c r="A94" s="96"/>
      <c r="B94" s="29"/>
      <c r="C94" s="29"/>
      <c r="D94" s="29"/>
      <c r="E94" s="97"/>
      <c r="F94" s="97"/>
      <c r="G94" s="97"/>
      <c r="H94" s="39"/>
      <c r="I94" s="39"/>
      <c r="J94" s="39"/>
      <c r="K94" s="39"/>
      <c r="L94" s="98"/>
      <c r="M94" s="23"/>
      <c r="N94" s="29"/>
      <c r="O94" s="12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</row>
    <row r="95" customFormat="false" ht="16.15" hidden="false" customHeight="true" outlineLevel="0" collapsed="false">
      <c r="A95" s="96"/>
      <c r="B95" s="29"/>
      <c r="C95" s="29"/>
      <c r="D95" s="29"/>
      <c r="E95" s="97"/>
      <c r="F95" s="97"/>
      <c r="G95" s="97"/>
      <c r="H95" s="39"/>
      <c r="I95" s="39"/>
      <c r="J95" s="39"/>
      <c r="K95" s="39"/>
      <c r="L95" s="98"/>
      <c r="M95" s="23"/>
      <c r="N95" s="29"/>
      <c r="O95" s="12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</row>
    <row r="96" customFormat="false" ht="16.15" hidden="false" customHeight="true" outlineLevel="0" collapsed="false">
      <c r="A96" s="96"/>
      <c r="B96" s="29"/>
      <c r="C96" s="29"/>
      <c r="D96" s="29"/>
      <c r="E96" s="97"/>
      <c r="F96" s="97"/>
      <c r="G96" s="97"/>
      <c r="H96" s="39"/>
      <c r="I96" s="39"/>
      <c r="J96" s="39"/>
      <c r="K96" s="39"/>
      <c r="L96" s="98"/>
      <c r="M96" s="23"/>
      <c r="N96" s="29"/>
      <c r="O96" s="12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</row>
    <row r="97" customFormat="false" ht="16.15" hidden="false" customHeight="true" outlineLevel="0" collapsed="false">
      <c r="A97" s="96"/>
      <c r="B97" s="29"/>
      <c r="C97" s="29"/>
      <c r="D97" s="29"/>
      <c r="E97" s="97"/>
      <c r="F97" s="97"/>
      <c r="G97" s="97"/>
      <c r="H97" s="39"/>
      <c r="I97" s="39"/>
      <c r="J97" s="39"/>
      <c r="K97" s="39"/>
      <c r="L97" s="98"/>
      <c r="M97" s="23"/>
      <c r="N97" s="29"/>
      <c r="O97" s="12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</row>
    <row r="98" customFormat="false" ht="16.15" hidden="false" customHeight="true" outlineLevel="0" collapsed="false">
      <c r="A98" s="96"/>
      <c r="B98" s="29"/>
      <c r="C98" s="29"/>
      <c r="D98" s="29"/>
      <c r="E98" s="97"/>
      <c r="F98" s="97"/>
      <c r="G98" s="97"/>
      <c r="H98" s="39"/>
      <c r="I98" s="39"/>
      <c r="J98" s="39"/>
      <c r="K98" s="39"/>
      <c r="L98" s="98"/>
      <c r="M98" s="23"/>
      <c r="N98" s="29"/>
      <c r="O98" s="12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</row>
    <row r="99" customFormat="false" ht="16.15" hidden="false" customHeight="true" outlineLevel="0" collapsed="false">
      <c r="A99" s="96"/>
      <c r="B99" s="29"/>
      <c r="C99" s="29"/>
      <c r="D99" s="29"/>
      <c r="E99" s="97"/>
      <c r="F99" s="97"/>
      <c r="G99" s="97"/>
      <c r="H99" s="39"/>
      <c r="I99" s="39"/>
      <c r="J99" s="39"/>
      <c r="K99" s="39"/>
      <c r="L99" s="98"/>
      <c r="M99" s="23"/>
      <c r="N99" s="29"/>
      <c r="O99" s="12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</row>
    <row r="100" customFormat="false" ht="16.15" hidden="false" customHeight="true" outlineLevel="0" collapsed="false">
      <c r="A100" s="96"/>
      <c r="B100" s="29"/>
      <c r="C100" s="29"/>
      <c r="D100" s="29"/>
      <c r="E100" s="97"/>
      <c r="F100" s="97"/>
      <c r="G100" s="97"/>
      <c r="H100" s="39"/>
      <c r="I100" s="39"/>
      <c r="J100" s="39"/>
      <c r="K100" s="39"/>
      <c r="L100" s="98"/>
      <c r="M100" s="23"/>
      <c r="N100" s="29"/>
      <c r="O100" s="12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</row>
    <row r="101" customFormat="false" ht="16.15" hidden="false" customHeight="true" outlineLevel="0" collapsed="false">
      <c r="A101" s="96"/>
      <c r="B101" s="29"/>
      <c r="C101" s="29"/>
      <c r="D101" s="29"/>
      <c r="E101" s="97"/>
      <c r="F101" s="97"/>
      <c r="G101" s="97"/>
      <c r="H101" s="39"/>
      <c r="I101" s="39"/>
      <c r="J101" s="39"/>
      <c r="K101" s="39"/>
      <c r="L101" s="98"/>
      <c r="M101" s="23"/>
      <c r="N101" s="29"/>
      <c r="O101" s="12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</row>
    <row r="102" customFormat="false" ht="16.15" hidden="false" customHeight="true" outlineLevel="0" collapsed="false">
      <c r="A102" s="96"/>
      <c r="B102" s="29"/>
      <c r="C102" s="29"/>
      <c r="D102" s="29"/>
      <c r="E102" s="97"/>
      <c r="F102" s="97"/>
      <c r="G102" s="97"/>
      <c r="H102" s="39"/>
      <c r="I102" s="39"/>
      <c r="J102" s="39"/>
      <c r="K102" s="39"/>
      <c r="L102" s="98"/>
      <c r="M102" s="23"/>
      <c r="N102" s="29"/>
      <c r="O102" s="12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</row>
    <row r="103" customFormat="false" ht="16.15" hidden="false" customHeight="true" outlineLevel="0" collapsed="false">
      <c r="A103" s="96"/>
      <c r="B103" s="29"/>
      <c r="C103" s="29"/>
      <c r="D103" s="29"/>
      <c r="E103" s="97"/>
      <c r="F103" s="97"/>
      <c r="G103" s="97"/>
      <c r="H103" s="39"/>
      <c r="I103" s="39"/>
      <c r="J103" s="39"/>
      <c r="K103" s="39"/>
      <c r="L103" s="98"/>
      <c r="M103" s="23"/>
      <c r="N103" s="29"/>
      <c r="O103" s="12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</row>
    <row r="104" customFormat="false" ht="16.15" hidden="false" customHeight="true" outlineLevel="0" collapsed="false">
      <c r="A104" s="96"/>
      <c r="B104" s="29"/>
      <c r="C104" s="29"/>
      <c r="D104" s="29"/>
      <c r="E104" s="97"/>
      <c r="F104" s="97"/>
      <c r="G104" s="97"/>
      <c r="H104" s="39"/>
      <c r="I104" s="39"/>
      <c r="J104" s="39"/>
      <c r="K104" s="39"/>
      <c r="L104" s="98"/>
      <c r="M104" s="23"/>
      <c r="N104" s="29"/>
      <c r="O104" s="12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</row>
    <row r="105" customFormat="false" ht="16.15" hidden="false" customHeight="true" outlineLevel="0" collapsed="false">
      <c r="A105" s="96"/>
      <c r="B105" s="29"/>
      <c r="C105" s="29"/>
      <c r="D105" s="29"/>
      <c r="E105" s="97"/>
      <c r="F105" s="97"/>
      <c r="G105" s="97"/>
      <c r="H105" s="39"/>
      <c r="I105" s="39"/>
      <c r="J105" s="39"/>
      <c r="K105" s="39"/>
      <c r="L105" s="98"/>
      <c r="M105" s="23"/>
      <c r="N105" s="29"/>
      <c r="O105" s="12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</row>
    <row r="106" customFormat="false" ht="16.15" hidden="false" customHeight="true" outlineLevel="0" collapsed="false">
      <c r="A106" s="96"/>
      <c r="B106" s="29"/>
      <c r="C106" s="29"/>
      <c r="D106" s="29"/>
      <c r="E106" s="97"/>
      <c r="F106" s="97"/>
      <c r="G106" s="97"/>
      <c r="H106" s="39"/>
      <c r="I106" s="39"/>
      <c r="J106" s="39"/>
      <c r="K106" s="39"/>
      <c r="L106" s="98"/>
      <c r="M106" s="23"/>
      <c r="N106" s="29"/>
      <c r="O106" s="12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</row>
    <row r="107" customFormat="false" ht="16.15" hidden="false" customHeight="true" outlineLevel="0" collapsed="false">
      <c r="A107" s="96"/>
      <c r="B107" s="29"/>
      <c r="C107" s="29"/>
      <c r="D107" s="29"/>
      <c r="E107" s="97"/>
      <c r="F107" s="97"/>
      <c r="G107" s="97"/>
      <c r="H107" s="39"/>
      <c r="I107" s="39"/>
      <c r="J107" s="39"/>
      <c r="K107" s="39"/>
      <c r="L107" s="98"/>
      <c r="M107" s="23"/>
      <c r="N107" s="29"/>
      <c r="O107" s="12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</row>
    <row r="108" customFormat="false" ht="16.15" hidden="false" customHeight="true" outlineLevel="0" collapsed="false">
      <c r="A108" s="96"/>
      <c r="B108" s="29"/>
      <c r="C108" s="29"/>
      <c r="D108" s="29"/>
      <c r="E108" s="97"/>
      <c r="F108" s="97"/>
      <c r="G108" s="97"/>
      <c r="H108" s="39"/>
      <c r="I108" s="39"/>
      <c r="J108" s="39"/>
      <c r="K108" s="39"/>
      <c r="L108" s="98"/>
      <c r="M108" s="23"/>
      <c r="N108" s="29"/>
      <c r="O108" s="12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</row>
    <row r="109" customFormat="false" ht="16.15" hidden="false" customHeight="true" outlineLevel="0" collapsed="false">
      <c r="A109" s="96"/>
      <c r="B109" s="29"/>
      <c r="C109" s="29"/>
      <c r="D109" s="29"/>
      <c r="E109" s="97"/>
      <c r="F109" s="97"/>
      <c r="G109" s="97"/>
      <c r="H109" s="39"/>
      <c r="I109" s="39"/>
      <c r="J109" s="39"/>
      <c r="K109" s="39"/>
      <c r="L109" s="98"/>
      <c r="M109" s="23"/>
      <c r="N109" s="29"/>
      <c r="O109" s="12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</row>
    <row r="110" customFormat="false" ht="16.15" hidden="false" customHeight="true" outlineLevel="0" collapsed="false">
      <c r="A110" s="96"/>
      <c r="B110" s="29"/>
      <c r="C110" s="29"/>
      <c r="D110" s="29"/>
      <c r="E110" s="97"/>
      <c r="F110" s="97"/>
      <c r="G110" s="97"/>
      <c r="H110" s="39"/>
      <c r="I110" s="39"/>
      <c r="J110" s="39"/>
      <c r="K110" s="39"/>
      <c r="L110" s="98"/>
      <c r="M110" s="23"/>
      <c r="N110" s="29"/>
      <c r="O110" s="12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</row>
    <row r="111" customFormat="false" ht="16.15" hidden="false" customHeight="true" outlineLevel="0" collapsed="false">
      <c r="A111" s="96"/>
      <c r="B111" s="29"/>
      <c r="C111" s="29"/>
      <c r="D111" s="29"/>
      <c r="E111" s="97"/>
      <c r="F111" s="97"/>
      <c r="G111" s="97"/>
      <c r="H111" s="39"/>
      <c r="I111" s="39"/>
      <c r="J111" s="39"/>
      <c r="K111" s="39"/>
      <c r="L111" s="98"/>
      <c r="M111" s="23"/>
      <c r="N111" s="29"/>
      <c r="O111" s="12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</row>
    <row r="112" customFormat="false" ht="16.15" hidden="false" customHeight="true" outlineLevel="0" collapsed="false">
      <c r="A112" s="96"/>
      <c r="B112" s="29"/>
      <c r="C112" s="29"/>
      <c r="D112" s="29"/>
      <c r="E112" s="97"/>
      <c r="F112" s="97"/>
      <c r="G112" s="97"/>
      <c r="H112" s="39"/>
      <c r="I112" s="39"/>
      <c r="J112" s="39"/>
      <c r="K112" s="39"/>
      <c r="L112" s="98"/>
      <c r="M112" s="23"/>
      <c r="N112" s="29"/>
      <c r="O112" s="12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</row>
    <row r="113" customFormat="false" ht="16.15" hidden="false" customHeight="true" outlineLevel="0" collapsed="false">
      <c r="A113" s="96"/>
      <c r="B113" s="29"/>
      <c r="C113" s="29"/>
      <c r="D113" s="29"/>
      <c r="E113" s="97"/>
      <c r="F113" s="97"/>
      <c r="G113" s="97"/>
      <c r="H113" s="39"/>
      <c r="I113" s="39"/>
      <c r="J113" s="39"/>
      <c r="K113" s="39"/>
      <c r="L113" s="98"/>
      <c r="M113" s="23"/>
      <c r="N113" s="29"/>
      <c r="O113" s="12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</row>
    <row r="114" customFormat="false" ht="16.15" hidden="false" customHeight="true" outlineLevel="0" collapsed="false">
      <c r="A114" s="96"/>
      <c r="B114" s="29"/>
      <c r="C114" s="29"/>
      <c r="D114" s="29"/>
      <c r="E114" s="97"/>
      <c r="F114" s="97"/>
      <c r="G114" s="97"/>
      <c r="H114" s="39"/>
      <c r="I114" s="39"/>
      <c r="J114" s="39"/>
      <c r="K114" s="39"/>
      <c r="L114" s="98"/>
      <c r="M114" s="23"/>
      <c r="N114" s="29"/>
      <c r="O114" s="12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</row>
    <row r="115" customFormat="false" ht="16.15" hidden="false" customHeight="true" outlineLevel="0" collapsed="false">
      <c r="A115" s="96"/>
      <c r="B115" s="29"/>
      <c r="C115" s="29"/>
      <c r="D115" s="29"/>
      <c r="E115" s="97"/>
      <c r="F115" s="97"/>
      <c r="G115" s="97"/>
      <c r="H115" s="39"/>
      <c r="I115" s="39"/>
      <c r="J115" s="39"/>
      <c r="K115" s="39"/>
      <c r="L115" s="98"/>
      <c r="M115" s="23"/>
      <c r="N115" s="29"/>
      <c r="O115" s="12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</row>
    <row r="116" customFormat="false" ht="16.15" hidden="false" customHeight="true" outlineLevel="0" collapsed="false">
      <c r="A116" s="96"/>
      <c r="B116" s="29"/>
      <c r="C116" s="29"/>
      <c r="D116" s="29"/>
      <c r="E116" s="97"/>
      <c r="F116" s="97"/>
      <c r="G116" s="97"/>
      <c r="H116" s="39"/>
      <c r="I116" s="39"/>
      <c r="J116" s="39"/>
      <c r="K116" s="39"/>
      <c r="L116" s="98"/>
      <c r="M116" s="23"/>
      <c r="N116" s="29"/>
      <c r="O116" s="12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</row>
    <row r="117" customFormat="false" ht="16.15" hidden="false" customHeight="true" outlineLevel="0" collapsed="false">
      <c r="A117" s="96"/>
      <c r="B117" s="29"/>
      <c r="C117" s="29"/>
      <c r="D117" s="29"/>
      <c r="E117" s="97"/>
      <c r="F117" s="97"/>
      <c r="G117" s="97"/>
      <c r="H117" s="39"/>
      <c r="I117" s="39"/>
      <c r="J117" s="39"/>
      <c r="K117" s="39"/>
      <c r="L117" s="98"/>
      <c r="M117" s="23"/>
      <c r="N117" s="29"/>
      <c r="O117" s="12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</row>
    <row r="118" customFormat="false" ht="16.15" hidden="false" customHeight="true" outlineLevel="0" collapsed="false">
      <c r="A118" s="96"/>
      <c r="B118" s="29"/>
      <c r="C118" s="29"/>
      <c r="D118" s="29"/>
      <c r="E118" s="97"/>
      <c r="F118" s="97"/>
      <c r="G118" s="97"/>
      <c r="H118" s="39"/>
      <c r="I118" s="39"/>
      <c r="J118" s="39"/>
      <c r="K118" s="39"/>
      <c r="L118" s="98"/>
      <c r="M118" s="23"/>
      <c r="N118" s="29"/>
      <c r="O118" s="12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</row>
    <row r="119" customFormat="false" ht="16.15" hidden="false" customHeight="true" outlineLevel="0" collapsed="false">
      <c r="A119" s="96"/>
      <c r="B119" s="29"/>
      <c r="C119" s="29"/>
      <c r="D119" s="29"/>
      <c r="E119" s="97"/>
      <c r="F119" s="97"/>
      <c r="G119" s="97"/>
      <c r="H119" s="39"/>
      <c r="I119" s="39"/>
      <c r="J119" s="39"/>
      <c r="K119" s="39"/>
      <c r="L119" s="98"/>
    </row>
    <row r="120" customFormat="false" ht="16.15" hidden="false" customHeight="true" outlineLevel="0" collapsed="false"/>
    <row r="121" customFormat="false" ht="16.15" hidden="false" customHeight="true" outlineLevel="0" collapsed="false"/>
    <row r="122" customFormat="false" ht="16.15" hidden="false" customHeight="true" outlineLevel="0" collapsed="false"/>
    <row r="123" customFormat="false" ht="16.15" hidden="false" customHeight="true" outlineLevel="0" collapsed="false"/>
    <row r="124" customFormat="false" ht="16.15" hidden="false" customHeight="true" outlineLevel="0" collapsed="false"/>
    <row r="125" customFormat="false" ht="16.15" hidden="false" customHeight="true" outlineLevel="0" collapsed="false"/>
    <row r="126" customFormat="false" ht="16.15" hidden="false" customHeight="true" outlineLevel="0" collapsed="false"/>
    <row r="127" customFormat="false" ht="16.15" hidden="false" customHeight="true" outlineLevel="0" collapsed="false"/>
    <row r="128" customFormat="false" ht="16.15" hidden="false" customHeight="true" outlineLevel="0" collapsed="false"/>
  </sheetData>
  <sheetProtection sheet="true" objects="true" scenarios="true"/>
  <mergeCells count="3">
    <mergeCell ref="N1:Y1"/>
    <mergeCell ref="M2:Y2"/>
    <mergeCell ref="V24:X24"/>
  </mergeCells>
  <dataValidations count="2">
    <dataValidation allowBlank="true" errorStyle="stop" operator="equal" showDropDown="false" showErrorMessage="true" showInputMessage="false" sqref="Z1:Z28" type="none">
      <formula1>0</formula1>
      <formula2>0</formula2>
    </dataValidation>
    <dataValidation allowBlank="true" errorStyle="stop" operator="between" showDropDown="false" showErrorMessage="true" showInputMessage="false" sqref="A1:Y29" type="whole">
      <formula1>1</formula1>
      <formula2>65535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&amp;C&amp;"Arial,標準"&amp;A</oddHeader>
    <oddFooter>&amp;C&amp;"Arial,標準"ページ &amp;P</oddFooter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" name=" ">
              <controlPr defaultSize="0" locked="1" autoFill="0" autoLine="0" autoPict="0" print="true" altText="Check Box 1001">
                <anchor moveWithCells="true" sizeWithCells="false">
                  <from>
                    <xdr:col>14</xdr:col>
                    <xdr:colOff>442440</xdr:colOff>
                    <xdr:row>18</xdr:row>
                    <xdr:rowOff>133560</xdr:rowOff>
                  </from>
                  <to>
                    <xdr:col>15</xdr:col>
                    <xdr:colOff>442440</xdr:colOff>
                    <xdr:row>20</xdr:row>
                    <xdr:rowOff>133560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4" name=" ">
              <controlPr defaultSize="0" locked="1" autoFill="0" autoLine="0" autoPict="0" print="true" altText="チェックボックス 6">
                <anchor moveWithCells="true" sizeWithCells="false">
                  <from>
                    <xdr:col>15</xdr:col>
                    <xdr:colOff>426600</xdr:colOff>
                    <xdr:row>18</xdr:row>
                    <xdr:rowOff>133560</xdr:rowOff>
                  </from>
                  <to>
                    <xdr:col>16</xdr:col>
                    <xdr:colOff>426600</xdr:colOff>
                    <xdr:row>20</xdr:row>
                    <xdr:rowOff>133560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3" r:id="rId5" name=" ">
              <controlPr defaultSize="0" locked="1" autoFill="0" autoLine="0" autoPict="0" print="true" altText="Check Box 1003">
                <anchor moveWithCells="true" sizeWithCells="false">
                  <from>
                    <xdr:col>16</xdr:col>
                    <xdr:colOff>414000</xdr:colOff>
                    <xdr:row>18</xdr:row>
                    <xdr:rowOff>133560</xdr:rowOff>
                  </from>
                  <to>
                    <xdr:col>17</xdr:col>
                    <xdr:colOff>414000</xdr:colOff>
                    <xdr:row>20</xdr:row>
                    <xdr:rowOff>133560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4" r:id="rId6" name=" ">
              <controlPr defaultSize="0" locked="1" autoFill="0" autoLine="0" autoPict="0" print="true" altText="Check Box 1004">
                <anchor moveWithCells="true" sizeWithCells="false">
                  <from>
                    <xdr:col>17</xdr:col>
                    <xdr:colOff>426600</xdr:colOff>
                    <xdr:row>18</xdr:row>
                    <xdr:rowOff>133560</xdr:rowOff>
                  </from>
                  <to>
                    <xdr:col>18</xdr:col>
                    <xdr:colOff>426600</xdr:colOff>
                    <xdr:row>20</xdr:row>
                    <xdr:rowOff>133560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5" r:id="rId7" name=" ">
              <controlPr defaultSize="0" locked="1" autoFill="0" autoLine="0" autoPict="0" print="true" altText="Check Box 1005">
                <anchor moveWithCells="true" sizeWithCells="false">
                  <from>
                    <xdr:col>19</xdr:col>
                    <xdr:colOff>426600</xdr:colOff>
                    <xdr:row>18</xdr:row>
                    <xdr:rowOff>133560</xdr:rowOff>
                  </from>
                  <to>
                    <xdr:col>20</xdr:col>
                    <xdr:colOff>426600</xdr:colOff>
                    <xdr:row>20</xdr:row>
                    <xdr:rowOff>133560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6" r:id="rId8" name=" ">
              <controlPr defaultSize="0" locked="1" autoFill="0" autoLine="0" autoPict="0" print="true" altText="Check Box 1006">
                <anchor moveWithCells="true" sizeWithCells="false">
                  <from>
                    <xdr:col>20</xdr:col>
                    <xdr:colOff>417240</xdr:colOff>
                    <xdr:row>18</xdr:row>
                    <xdr:rowOff>133560</xdr:rowOff>
                  </from>
                  <to>
                    <xdr:col>21</xdr:col>
                    <xdr:colOff>417240</xdr:colOff>
                    <xdr:row>20</xdr:row>
                    <xdr:rowOff>133560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7" r:id="rId9" name=" ">
              <controlPr defaultSize="0" locked="1" autoFill="0" autoLine="0" autoPict="0" print="true" altText="Check Box 1007">
                <anchor moveWithCells="true" sizeWithCells="false">
                  <from>
                    <xdr:col>21</xdr:col>
                    <xdr:colOff>429840</xdr:colOff>
                    <xdr:row>18</xdr:row>
                    <xdr:rowOff>133560</xdr:rowOff>
                  </from>
                  <to>
                    <xdr:col>22</xdr:col>
                    <xdr:colOff>429840</xdr:colOff>
                    <xdr:row>20</xdr:row>
                    <xdr:rowOff>133560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8" r:id="rId10" name=" ">
              <controlPr defaultSize="0" locked="1" autoFill="0" autoLine="0" autoPict="0" print="true" altText="Check Box 1008">
                <anchor moveWithCells="true" sizeWithCells="false">
                  <from>
                    <xdr:col>22</xdr:col>
                    <xdr:colOff>426600</xdr:colOff>
                    <xdr:row>18</xdr:row>
                    <xdr:rowOff>136440</xdr:rowOff>
                  </from>
                  <to>
                    <xdr:col>23</xdr:col>
                    <xdr:colOff>426600</xdr:colOff>
                    <xdr:row>20</xdr:row>
                    <xdr:rowOff>136440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9" r:id="rId11" name=" ">
              <controlPr defaultSize="0" locked="1" autoFill="0" autoLine="0" autoPict="0" print="true" altText="Check Box 1009">
                <anchor moveWithCells="true" sizeWithCells="false">
                  <from>
                    <xdr:col>23</xdr:col>
                    <xdr:colOff>426600</xdr:colOff>
                    <xdr:row>18</xdr:row>
                    <xdr:rowOff>133560</xdr:rowOff>
                  </from>
                  <to>
                    <xdr:col>24</xdr:col>
                    <xdr:colOff>426600</xdr:colOff>
                    <xdr:row>20</xdr:row>
                    <xdr:rowOff>133560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0" r:id="rId12" name=" ">
              <controlPr defaultSize="0" locked="1" autoFill="0" autoLine="0" autoPict="0" print="true" altText="Check Box 1010">
                <anchor moveWithCells="true" sizeWithCells="false">
                  <from>
                    <xdr:col>24</xdr:col>
                    <xdr:colOff>417240</xdr:colOff>
                    <xdr:row>18</xdr:row>
                    <xdr:rowOff>133560</xdr:rowOff>
                  </from>
                  <to>
                    <xdr:col>26</xdr:col>
                    <xdr:colOff>47880</xdr:colOff>
                    <xdr:row>20</xdr:row>
                    <xdr:rowOff>133560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1" r:id="rId13" name=" ">
              <controlPr defaultSize="0" locked="1" autoFill="0" autoLine="0" autoPict="0" print="true" altText="Check Box 1011">
                <anchor moveWithCells="true" sizeWithCells="false">
                  <from>
                    <xdr:col>18</xdr:col>
                    <xdr:colOff>426600</xdr:colOff>
                    <xdr:row>18</xdr:row>
                    <xdr:rowOff>133560</xdr:rowOff>
                  </from>
                  <to>
                    <xdr:col>19</xdr:col>
                    <xdr:colOff>426600</xdr:colOff>
                    <xdr:row>20</xdr:row>
                    <xdr:rowOff>133560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6:K1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17" activeCellId="0" sqref="D17"/>
    </sheetView>
  </sheetViews>
  <sheetFormatPr defaultColWidth="12.8046875" defaultRowHeight="12.8" customHeight="false" zeroHeight="false" outlineLevelRow="0" outlineLevelCol="0"/>
  <sheetData>
    <row r="6" customFormat="false" ht="12.8" hidden="false" customHeight="false" outlineLevel="0" collapsed="false">
      <c r="B6" s="16" t="n">
        <v>1000</v>
      </c>
      <c r="C6" s="16" t="n">
        <v>50</v>
      </c>
      <c r="E6" s="16" t="n">
        <v>200</v>
      </c>
      <c r="F6" s="16" t="n">
        <v>200</v>
      </c>
      <c r="G6" s="16" t="n">
        <v>20</v>
      </c>
      <c r="H6" s="16" t="n">
        <v>20</v>
      </c>
      <c r="I6" s="16" t="n">
        <v>20</v>
      </c>
      <c r="J6" s="16" t="n">
        <v>20</v>
      </c>
      <c r="K6" s="16" t="n">
        <v>20</v>
      </c>
    </row>
    <row r="7" customFormat="false" ht="12.8" hidden="false" customHeight="false" outlineLevel="0" collapsed="false">
      <c r="B7" s="16" t="n">
        <v>600</v>
      </c>
      <c r="C7" s="16" t="n">
        <v>30</v>
      </c>
      <c r="E7" s="16" t="n">
        <v>200</v>
      </c>
      <c r="F7" s="16" t="n">
        <v>200</v>
      </c>
      <c r="G7" s="16" t="n">
        <v>10</v>
      </c>
      <c r="H7" s="16" t="n">
        <v>10</v>
      </c>
      <c r="I7" s="16" t="n">
        <v>10</v>
      </c>
      <c r="J7" s="16" t="n">
        <v>10</v>
      </c>
      <c r="K7" s="16" t="n">
        <v>10</v>
      </c>
    </row>
    <row r="8" customFormat="false" ht="12.8" hidden="false" customHeight="false" outlineLevel="0" collapsed="false">
      <c r="B8" s="16" t="n">
        <v>400</v>
      </c>
      <c r="C8" s="16" t="n">
        <v>20</v>
      </c>
      <c r="E8" s="16" t="n">
        <v>100</v>
      </c>
      <c r="F8" s="16" t="n">
        <v>100</v>
      </c>
    </row>
    <row r="9" customFormat="false" ht="12.8" hidden="false" customHeight="false" outlineLevel="0" collapsed="false">
      <c r="E9" s="16" t="n">
        <v>100</v>
      </c>
      <c r="F9" s="16" t="n">
        <v>100</v>
      </c>
      <c r="G9" s="16" t="n">
        <v>10</v>
      </c>
      <c r="H9" s="16" t="n">
        <v>10</v>
      </c>
      <c r="I9" s="16" t="n">
        <v>10</v>
      </c>
      <c r="J9" s="16" t="n">
        <v>10</v>
      </c>
      <c r="K9" s="16" t="n">
        <v>10</v>
      </c>
    </row>
    <row r="11" customFormat="false" ht="12.8" hidden="false" customHeight="false" outlineLevel="0" collapsed="false">
      <c r="B11" s="16" t="n">
        <f aca="false">SUM(B6:B10)</f>
        <v>2000</v>
      </c>
      <c r="C11" s="16" t="n">
        <f aca="false">SUM(C6:C10)</f>
        <v>100</v>
      </c>
      <c r="D11" s="16" t="n">
        <f aca="false">SUM(D6:D10)</f>
        <v>0</v>
      </c>
      <c r="E11" s="16" t="n">
        <f aca="false">SUM(E6:E10)</f>
        <v>600</v>
      </c>
      <c r="F11" s="16" t="n">
        <f aca="false">SUM(F6:F10)</f>
        <v>600</v>
      </c>
      <c r="G11" s="16" t="n">
        <f aca="false">SUM(G6:G10)</f>
        <v>40</v>
      </c>
      <c r="H11" s="16" t="n">
        <f aca="false">SUM(H6:H10)</f>
        <v>40</v>
      </c>
      <c r="I11" s="16" t="n">
        <f aca="false">SUM(I6:I10)</f>
        <v>40</v>
      </c>
      <c r="J11" s="16" t="n">
        <f aca="false">SUM(J6:J10)</f>
        <v>40</v>
      </c>
      <c r="K11" s="16" t="n">
        <f aca="false">SUM(K6:K10)</f>
        <v>40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&amp;C&amp;"Arial,標準"&amp;A</oddHeader>
    <oddFooter>&amp;C&amp;"Arial,標準"ページ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164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2026-01-28T00:53:52Z</dcterms:created>
  <dc:creator/>
  <dc:description/>
  <dc:language>ja-JP</dc:language>
  <cp:lastModifiedBy/>
  <dcterms:modified xsi:type="dcterms:W3CDTF">2026-04-28T20:48:43Z</dcterms:modified>
  <cp:revision>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