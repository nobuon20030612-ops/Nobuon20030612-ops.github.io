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styles.xml" ContentType="application/vnd.openxmlformats-officedocument.spreadsheetml.styles+xml"/>
  <Override PartName="/xl/ctrlProps/ctrlProps2.xml" ContentType="application/vnd.ms-excel.controlproperties+xml"/>
  <Override PartName="/xl/ctrlProps/ctrlProps3.xml" ContentType="application/vnd.ms-excel.controlproperties+xml"/>
  <Override PartName="/xl/ctrlProps/ctrlProps4.xml" ContentType="application/vnd.ms-excel.controlproperties+xml"/>
  <Override PartName="/xl/ctrlProps/ctrlProps5.xml" ContentType="application/vnd.ms-excel.controlproperties+xml"/>
  <Override PartName="/xl/ctrlProps/ctrlProps6.xml" ContentType="application/vnd.ms-excel.controlproperties+xml"/>
  <Override PartName="/xl/ctrlProps/ctrlProps7.xml" ContentType="application/vnd.ms-excel.controlproperties+xml"/>
  <Override PartName="/xl/ctrlProps/ctrlProps11.xml" ContentType="application/vnd.ms-excel.controlproperties+xml"/>
  <Override PartName="/xl/ctrlProps/ctrlProps8.xml" ContentType="application/vnd.ms-excel.controlproperties+xml"/>
  <Override PartName="/xl/ctrlProps/ctrlProps10.xml" ContentType="application/vnd.ms-excel.controlproperties+xml"/>
  <Override PartName="/xl/ctrlProps/ctrlProps9.xml" ContentType="application/vnd.ms-excel.controlproperties+xml"/>
  <Override PartName="/xl/ctrlProps/ctrlProps12.xml" ContentType="application/vnd.ms-excel.controlproperti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富士地下洞穴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<sst xmlns="http://schemas.openxmlformats.org/spreadsheetml/2006/main" count="83" uniqueCount="58">
  <si>
    <t xml:space="preserve">プレイヤー</t>
  </si>
  <si>
    <t xml:space="preserve">生命</t>
  </si>
  <si>
    <t xml:space="preserve">気合</t>
  </si>
  <si>
    <t xml:space="preserve">腕力</t>
  </si>
  <si>
    <t xml:space="preserve">耐久</t>
  </si>
  <si>
    <t xml:space="preserve">器用</t>
  </si>
  <si>
    <t xml:space="preserve">知力</t>
  </si>
  <si>
    <t xml:space="preserve">魅力</t>
  </si>
  <si>
    <t xml:space="preserve">土</t>
  </si>
  <si>
    <t xml:space="preserve">水</t>
  </si>
  <si>
    <t xml:space="preserve">火</t>
  </si>
  <si>
    <t xml:space="preserve">風</t>
  </si>
  <si>
    <t xml:space="preserve">合計能力値</t>
  </si>
  <si>
    <t xml:space="preserve">初期能力:LV85</t>
  </si>
  <si>
    <t xml:space="preserve">カンスト余剰値</t>
  </si>
  <si>
    <t xml:space="preserve">※平均参考値</t>
  </si>
  <si>
    <t xml:space="preserve">潜在能力</t>
  </si>
  <si>
    <t xml:space="preserve">頭：付与</t>
  </si>
  <si>
    <t xml:space="preserve">技能覚醒</t>
  </si>
  <si>
    <t xml:space="preserve">頭：装飾石</t>
  </si>
  <si>
    <t xml:space="preserve">基礎能力:四聖獣</t>
  </si>
  <si>
    <t xml:space="preserve">胴：付与</t>
  </si>
  <si>
    <t xml:space="preserve">軍神</t>
  </si>
  <si>
    <t xml:space="preserve">胴：装飾石</t>
  </si>
  <si>
    <t xml:space="preserve">お供絆</t>
  </si>
  <si>
    <t xml:space="preserve">右手：付与</t>
  </si>
  <si>
    <t xml:space="preserve">称号：合計</t>
  </si>
  <si>
    <t xml:space="preserve">右手：装飾石</t>
  </si>
  <si>
    <t xml:space="preserve">宝玉：合計</t>
  </si>
  <si>
    <t xml:space="preserve">右手：九十九</t>
  </si>
  <si>
    <t xml:space="preserve">英傑陣法</t>
  </si>
  <si>
    <t xml:space="preserve">左手：付与</t>
  </si>
  <si>
    <t xml:space="preserve">英傑能力</t>
  </si>
  <si>
    <t xml:space="preserve">左手：装飾石</t>
  </si>
  <si>
    <t xml:space="preserve">絆：上昇値</t>
  </si>
  <si>
    <t xml:space="preserve">左手：九十九</t>
  </si>
  <si>
    <t xml:space="preserve">転生：廉貞</t>
  </si>
  <si>
    <t xml:space="preserve">首：付与</t>
  </si>
  <si>
    <t xml:space="preserve">絆：合計上昇値</t>
  </si>
  <si>
    <t xml:space="preserve">首：魔導結晶</t>
  </si>
  <si>
    <t xml:space="preserve">家臣能力</t>
  </si>
  <si>
    <t xml:space="preserve">腰：付与</t>
  </si>
  <si>
    <t xml:space="preserve">腕：付与</t>
  </si>
  <si>
    <t xml:space="preserve">主従の力</t>
  </si>
  <si>
    <t xml:space="preserve">個数→</t>
  </si>
  <si>
    <t xml:space="preserve">足：付与</t>
  </si>
  <si>
    <t xml:space="preserve">護符：付与</t>
  </si>
  <si>
    <t xml:space="preserve">付与限界地</t>
  </si>
  <si>
    <t xml:space="preserve">指：付与</t>
  </si>
  <si>
    <t xml:space="preserve">付与以外:上昇値</t>
  </si>
  <si>
    <t xml:space="preserve">紋：付与</t>
  </si>
  <si>
    <t xml:space="preserve">付与合計:上昇値</t>
  </si>
  <si>
    <t xml:space="preserve">お守り:付与</t>
  </si>
  <si>
    <t xml:space="preserve">赤帯補正後上昇値</t>
  </si>
  <si>
    <t xml:space="preserve">特殊：付与</t>
  </si>
  <si>
    <t xml:space="preserve">腰袋：付与</t>
  </si>
  <si>
    <t xml:space="preserve">袋：付与</t>
  </si>
  <si>
    <t xml:space="preserve">袋：装飾石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</si>
</sst>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[$￥-411]#,##0;[RED]\-[$￥-411]#,##0"/>
    <numFmt numFmtId="166" formatCode="0"/>
    <numFmt numFmtId="167" formatCode="&quot;TRUE&quot;;&quot;TRUE&quot;;&quot;FALSE&quot;"/>
  </numFmts>
  <fonts count="15">
    <font>
      <sz val="10"/>
      <name val="ＭＳ Ｐゴシック"/>
      <family val="2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u val="single"/>
      <sz val="10"/>
      <name val="ＭＳ Ｐゴシック"/>
      <family val="2"/>
      <charset val="128"/>
    </font>
    <font>
      <sz val="10.5"/>
      <name val="Noto Serif JP Black"/>
      <family val="1"/>
      <charset val="1"/>
    </font>
    <font>
      <sz val="10"/>
      <name val="Noto Serif JP Black"/>
      <family val="1"/>
      <charset val="1"/>
    </font>
    <font>
      <sz val="10"/>
      <color rgb="FF000000"/>
      <name val="Noto Serif JP Black"/>
      <family val="1"/>
      <charset val="1"/>
    </font>
    <font>
      <sz val="10.5"/>
      <color rgb="FFFFFFFF"/>
      <name val="Noto Serif JP Black"/>
      <family val="1"/>
      <charset val="1"/>
    </font>
    <font>
      <sz val="10"/>
      <color rgb="FFFFFFFF"/>
      <name val="Noto Serif JP Black"/>
      <family val="1"/>
      <charset val="1"/>
    </font>
    <font>
      <sz val="10.5"/>
      <color rgb="FFFF0000"/>
      <name val="Noto Serif JP Black"/>
      <family val="1"/>
      <charset val="1"/>
    </font>
    <font>
      <sz val="10"/>
      <color rgb="FFFF0000"/>
      <name val="Noto Serif JP Black"/>
      <family val="1"/>
      <charset val="1"/>
    </font>
    <font>
      <sz val="10"/>
      <color rgb="FFFFFFFF"/>
      <name val="ＭＳ Ｐゴシック"/>
      <family val="2"/>
      <charset val="128"/>
    </font>
    <font>
      <sz val="9"/>
      <color rgb="FFFF0000"/>
      <name val="Noto Serif JP Black"/>
      <family val="1"/>
      <charset val="1"/>
    </font>
    <font>
      <sz val="10"/>
      <color rgb="FF000000"/>
      <name val="ＭＳ Ｐゴシック"/>
      <family val="2"/>
      <charset val="128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999999"/>
        <bgColor rgb="FF808080"/>
      </patternFill>
    </fill>
    <fill>
      <patternFill patternType="solid">
        <fgColor rgb="FFEC9BA4"/>
        <bgColor rgb="FFFF8080"/>
      </patternFill>
    </fill>
    <fill>
      <patternFill patternType="solid">
        <fgColor rgb="FFFFD8CE"/>
        <bgColor rgb="FFE0C2CD"/>
      </patternFill>
    </fill>
    <fill>
      <patternFill patternType="solid">
        <fgColor rgb="FF000000"/>
        <bgColor rgb="FF003300"/>
      </patternFill>
    </fill>
    <fill>
      <patternFill patternType="solid">
        <fgColor rgb="FFE0C2CD"/>
        <bgColor rgb="FFCCCCFF"/>
      </patternFill>
    </fill>
    <fill>
      <patternFill patternType="solid">
        <fgColor rgb="FF81D41A"/>
        <bgColor rgb="FF9999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9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5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6" fillId="5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10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1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7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6" fillId="7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6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5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5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5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7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7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8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7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7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結果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0C2CD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EC9BA4"/>
      <rgbColor rgb="FFCC99FF"/>
      <rgbColor rgb="FFFFD8CE"/>
      <rgbColor rgb="FF3366FF"/>
      <rgbColor rgb="FF33CCCC"/>
      <rgbColor rgb="FF81D41A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trlProps/ctrlProps2.xml><?xml version="1.0" encoding="utf-8"?>
<formControlPr xmlns="http://schemas.microsoft.com/office/spreadsheetml/2009/9/main" objectType="CheckBox" autoLine="false" print="true" fmlaLink="富士地下洞穴!$O$15" lockText="1" noThreeD="1"/>
</file>

<file path=xl/ctrlProps/ctrlProps3.xml><?xml version="1.0" encoding="utf-8"?>
<formControlPr xmlns="http://schemas.microsoft.com/office/spreadsheetml/2009/9/main" objectType="CheckBox" autoLine="false" print="true" fmlaLink="富士地下洞穴!$P$15" lockText="1" noThreeD="1"/>
</file>

<file path=xl/ctrlProps/ctrlProps4.xml><?xml version="1.0" encoding="utf-8"?>
<formControlPr xmlns="http://schemas.microsoft.com/office/spreadsheetml/2009/9/main" objectType="CheckBox" autoLine="false" print="true" fmlaLink="富士地下洞穴!$Q$15" lockText="1" noThreeD="1"/>
</file>

<file path=xl/ctrlProps/ctrlProps5.xml><?xml version="1.0" encoding="utf-8"?>
<formControlPr xmlns="http://schemas.microsoft.com/office/spreadsheetml/2009/9/main" objectType="CheckBox" autoLine="false" print="true" fmlaLink="富士地下洞穴!$R$15" lockText="1" noThreeD="1"/>
</file>

<file path=xl/ctrlProps/ctrlProps6.xml><?xml version="1.0" encoding="utf-8"?>
<formControlPr xmlns="http://schemas.microsoft.com/office/spreadsheetml/2009/9/main" objectType="CheckBox" autoLine="false" print="true" fmlaLink="富士地下洞穴!$T$15" lockText="1" noThreeD="1"/>
</file>

<file path=xl/ctrlProps/ctrlProps7.xml><?xml version="1.0" encoding="utf-8"?>
<formControlPr xmlns="http://schemas.microsoft.com/office/spreadsheetml/2009/9/main" objectType="CheckBox" autoLine="false" print="true" fmlaLink="富士地下洞穴!$U$15" lockText="1" noThreeD="1"/>
</file>

<file path=xl/ctrlProps/ctrlProps8.xml><?xml version="1.0" encoding="utf-8"?>
<formControlPr xmlns="http://schemas.microsoft.com/office/spreadsheetml/2009/9/main" objectType="CheckBox" autoLine="false" print="true" fmlaLink="富士地下洞穴!$V$15" lockText="1" noThreeD="1"/>
</file>

<file path=xl/ctrlProps/ctrlProps9.xml><?xml version="1.0" encoding="utf-8"?>
<formControlPr xmlns="http://schemas.microsoft.com/office/spreadsheetml/2009/9/main" objectType="CheckBox" autoLine="false" print="true" fmlaLink="富士地下洞穴!$W$15" lockText="1" noThreeD="1"/>
</file>

<file path=xl/ctrlProps/ctrlProps10.xml><?xml version="1.0" encoding="utf-8"?>
<formControlPr xmlns="http://schemas.microsoft.com/office/spreadsheetml/2009/9/main" objectType="CheckBox" autoLine="false" print="true" fmlaLink="富士地下洞穴!$X$15" lockText="1" noThreeD="1"/>
</file>

<file path=xl/ctrlProps/ctrlProps11.xml><?xml version="1.0" encoding="utf-8"?>
<formControlPr xmlns="http://schemas.microsoft.com/office/spreadsheetml/2009/9/main" objectType="CheckBox" autoLine="false" print="true" fmlaLink="富士地下洞穴!$Y$15" lockText="1" noThreeD="1"/>
</file>

<file path=xl/ctrlProps/ctrlProps12.xml><?xml version="1.0" encoding="utf-8"?>
<formControlPr xmlns="http://schemas.microsoft.com/office/spreadsheetml/2009/9/main" objectType="CheckBox" autoLine="false" print="true" fmlaLink="富士地下洞穴!$S$15" lockText="1" noThreeD="1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66600</xdr:colOff>
          <xdr:row>13</xdr:row>
          <xdr:rowOff>31680</xdr:rowOff>
        </xdr:from>
        <xdr:to>
          <xdr:col>15</xdr:col>
          <xdr:colOff>57240</xdr:colOff>
          <xdr:row>15</xdr:row>
          <xdr:rowOff>44280</xdr:rowOff>
        </xdr:to>
        <xdr:sp>
          <xdr:nvSpPr>
            <xdr:cNvPr id="1001" name="Check Box 1001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15</xdr:col>
          <xdr:colOff>69840</xdr:colOff>
          <xdr:row>13</xdr:row>
          <xdr:rowOff>34920</xdr:rowOff>
        </xdr:from>
        <xdr:to>
          <xdr:col>16</xdr:col>
          <xdr:colOff>57240</xdr:colOff>
          <xdr:row>15</xdr:row>
          <xdr:rowOff>41400</xdr:rowOff>
        </xdr:to>
        <xdr:sp>
          <xdr:nvSpPr>
            <xdr:cNvPr id="1002" name="チェックボックス 6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69840</xdr:colOff>
          <xdr:row>13</xdr:row>
          <xdr:rowOff>31680</xdr:rowOff>
        </xdr:from>
        <xdr:to>
          <xdr:col>17</xdr:col>
          <xdr:colOff>54000</xdr:colOff>
          <xdr:row>15</xdr:row>
          <xdr:rowOff>41040</xdr:rowOff>
        </xdr:to>
        <xdr:sp>
          <xdr:nvSpPr>
            <xdr:cNvPr id="1003" name="Check Box 1003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69840</xdr:colOff>
          <xdr:row>13</xdr:row>
          <xdr:rowOff>34920</xdr:rowOff>
        </xdr:from>
        <xdr:to>
          <xdr:col>18</xdr:col>
          <xdr:colOff>54000</xdr:colOff>
          <xdr:row>15</xdr:row>
          <xdr:rowOff>41400</xdr:rowOff>
        </xdr:to>
        <xdr:sp>
          <xdr:nvSpPr>
            <xdr:cNvPr id="1004" name="Check Box 1004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73080</xdr:colOff>
          <xdr:row>13</xdr:row>
          <xdr:rowOff>38160</xdr:rowOff>
        </xdr:from>
        <xdr:to>
          <xdr:col>20</xdr:col>
          <xdr:colOff>60480</xdr:colOff>
          <xdr:row>15</xdr:row>
          <xdr:rowOff>47520</xdr:rowOff>
        </xdr:to>
        <xdr:sp>
          <xdr:nvSpPr>
            <xdr:cNvPr id="1005" name="Check Box 1005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60480</xdr:colOff>
          <xdr:row>13</xdr:row>
          <xdr:rowOff>38160</xdr:rowOff>
        </xdr:from>
        <xdr:to>
          <xdr:col>21</xdr:col>
          <xdr:colOff>47880</xdr:colOff>
          <xdr:row>15</xdr:row>
          <xdr:rowOff>47520</xdr:rowOff>
        </xdr:to>
        <xdr:sp>
          <xdr:nvSpPr>
            <xdr:cNvPr id="1006" name="Check Box 1006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21</xdr:col>
          <xdr:colOff>50760</xdr:colOff>
          <xdr:row>13</xdr:row>
          <xdr:rowOff>34920</xdr:rowOff>
        </xdr:from>
        <xdr:to>
          <xdr:col>22</xdr:col>
          <xdr:colOff>38160</xdr:colOff>
          <xdr:row>15</xdr:row>
          <xdr:rowOff>41400</xdr:rowOff>
        </xdr:to>
        <xdr:sp>
          <xdr:nvSpPr>
            <xdr:cNvPr id="1007" name="Check Box 1007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22</xdr:col>
          <xdr:colOff>66600</xdr:colOff>
          <xdr:row>13</xdr:row>
          <xdr:rowOff>38160</xdr:rowOff>
        </xdr:from>
        <xdr:to>
          <xdr:col>23</xdr:col>
          <xdr:colOff>54000</xdr:colOff>
          <xdr:row>15</xdr:row>
          <xdr:rowOff>44640</xdr:rowOff>
        </xdr:to>
        <xdr:sp>
          <xdr:nvSpPr>
            <xdr:cNvPr id="1008" name="Check Box 1008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23</xdr:col>
          <xdr:colOff>66600</xdr:colOff>
          <xdr:row>13</xdr:row>
          <xdr:rowOff>34920</xdr:rowOff>
        </xdr:from>
        <xdr:to>
          <xdr:col>24</xdr:col>
          <xdr:colOff>54000</xdr:colOff>
          <xdr:row>15</xdr:row>
          <xdr:rowOff>41400</xdr:rowOff>
        </xdr:to>
        <xdr:sp>
          <xdr:nvSpPr>
            <xdr:cNvPr id="1009" name="Check Box 1009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24</xdr:col>
          <xdr:colOff>66600</xdr:colOff>
          <xdr:row>13</xdr:row>
          <xdr:rowOff>38160</xdr:rowOff>
        </xdr:from>
        <xdr:to>
          <xdr:col>25</xdr:col>
          <xdr:colOff>3240</xdr:colOff>
          <xdr:row>15</xdr:row>
          <xdr:rowOff>47520</xdr:rowOff>
        </xdr:to>
        <xdr:sp>
          <xdr:nvSpPr>
            <xdr:cNvPr id="1010" name="Check Box 1010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73080</xdr:colOff>
          <xdr:row>13</xdr:row>
          <xdr:rowOff>38160</xdr:rowOff>
        </xdr:from>
        <xdr:to>
          <xdr:col>19</xdr:col>
          <xdr:colOff>60480</xdr:colOff>
          <xdr:row>15</xdr:row>
          <xdr:rowOff>47520</xdr:rowOff>
        </xdr:to>
        <xdr:sp>
          <xdr:nvSpPr>
            <xdr:cNvPr id="1011" name="Check Box 1011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trlProp" Target="../ctrlProps/ctrlProps2.xml"/><Relationship Id="rId4" Type="http://schemas.openxmlformats.org/officeDocument/2006/relationships/ctrlProp" Target="../ctrlProps/ctrlProps3.xml"/><Relationship Id="rId5" Type="http://schemas.openxmlformats.org/officeDocument/2006/relationships/ctrlProp" Target="../ctrlProps/ctrlProps4.xml"/><Relationship Id="rId6" Type="http://schemas.openxmlformats.org/officeDocument/2006/relationships/ctrlProp" Target="../ctrlProps/ctrlProps5.xml"/><Relationship Id="rId7" Type="http://schemas.openxmlformats.org/officeDocument/2006/relationships/ctrlProp" Target="../ctrlProps/ctrlProps6.xml"/><Relationship Id="rId8" Type="http://schemas.openxmlformats.org/officeDocument/2006/relationships/ctrlProp" Target="../ctrlProps/ctrlProps7.xml"/><Relationship Id="rId9" Type="http://schemas.openxmlformats.org/officeDocument/2006/relationships/ctrlProp" Target="../ctrlProps/ctrlProps8.xml"/><Relationship Id="rId10" Type="http://schemas.openxmlformats.org/officeDocument/2006/relationships/ctrlProp" Target="../ctrlProps/ctrlProps9.xml"/><Relationship Id="rId11" Type="http://schemas.openxmlformats.org/officeDocument/2006/relationships/ctrlProp" Target="../ctrlProps/ctrlProps10.xml"/><Relationship Id="rId12" Type="http://schemas.openxmlformats.org/officeDocument/2006/relationships/ctrlProp" Target="../ctrlProps/ctrlProps11.xml"/><Relationship Id="rId13" Type="http://schemas.openxmlformats.org/officeDocument/2006/relationships/ctrlProp" Target="../ctrlProps/ctrlProps1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28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K14" activeCellId="0" sqref="K14"/>
    </sheetView>
  </sheetViews>
  <sheetFormatPr defaultColWidth="12.8046875" defaultRowHeight="13.2" customHeight="false" zeroHeight="false" outlineLevelRow="0" outlineLevelCol="0"/>
  <cols>
    <col collapsed="false" customWidth="true" hidden="false" outlineLevel="0" max="1" min="1" style="1" width="15.39"/>
    <col collapsed="false" customWidth="true" hidden="false" outlineLevel="0" max="3" min="2" style="2" width="7.94"/>
    <col collapsed="false" customWidth="true" hidden="false" outlineLevel="0" max="4" min="4" style="2" width="7.13"/>
    <col collapsed="false" customWidth="true" hidden="false" outlineLevel="0" max="7" min="5" style="3" width="6.35"/>
    <col collapsed="false" customWidth="true" hidden="false" outlineLevel="0" max="11" min="8" style="4" width="6.35"/>
    <col collapsed="false" customWidth="true" hidden="false" outlineLevel="0" max="12" min="12" style="5" width="6.35"/>
    <col collapsed="false" customWidth="true" hidden="false" outlineLevel="0" max="13" min="13" style="6" width="5.41"/>
    <col collapsed="false" customWidth="true" hidden="false" outlineLevel="0" max="14" min="14" style="2" width="15.61"/>
    <col collapsed="false" customWidth="true" hidden="false" outlineLevel="0" max="15" min="15" style="7" width="7.94"/>
    <col collapsed="false" customWidth="true" hidden="false" outlineLevel="0" max="25" min="16" style="8" width="7.94"/>
    <col collapsed="false" customWidth="true" hidden="false" outlineLevel="0" max="26" min="26" style="9" width="5.57"/>
  </cols>
  <sheetData>
    <row r="1" customFormat="false" ht="14.45" hidden="false" customHeight="true" outlineLevel="0" collapsed="false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N1" s="12"/>
      <c r="O1" s="11" t="s">
        <v>1</v>
      </c>
      <c r="P1" s="12" t="s">
        <v>2</v>
      </c>
      <c r="Q1" s="12" t="s">
        <v>3</v>
      </c>
      <c r="R1" s="12" t="s">
        <v>4</v>
      </c>
      <c r="S1" s="12" t="s">
        <v>5</v>
      </c>
      <c r="T1" s="12" t="s">
        <v>6</v>
      </c>
      <c r="U1" s="12" t="s">
        <v>7</v>
      </c>
      <c r="V1" s="12" t="s">
        <v>8</v>
      </c>
      <c r="W1" s="12" t="s">
        <v>9</v>
      </c>
      <c r="X1" s="12" t="s">
        <v>10</v>
      </c>
      <c r="Y1" s="12" t="s">
        <v>11</v>
      </c>
    </row>
    <row r="2" customFormat="false" ht="23.6" hidden="false" customHeight="true" outlineLevel="0" collapsed="false">
      <c r="A2" s="13" t="s">
        <v>12</v>
      </c>
      <c r="B2" s="14" t="n">
        <f aca="false">SUM(O22,O24)-B3</f>
        <v>5400</v>
      </c>
      <c r="C2" s="14" t="n">
        <f aca="false">SUM(P22,P24)-C3</f>
        <v>2750</v>
      </c>
      <c r="D2" s="14" t="n">
        <f aca="false">SUM(Q22,Q24)-D3</f>
        <v>480</v>
      </c>
      <c r="E2" s="14" t="n">
        <f aca="false">SUM(R22,R24)-E3</f>
        <v>480</v>
      </c>
      <c r="F2" s="14" t="n">
        <f aca="false">SUM(S22,S24)-F3</f>
        <v>480</v>
      </c>
      <c r="G2" s="14" t="n">
        <f aca="false">SUM(T22,T24)-G3</f>
        <v>480</v>
      </c>
      <c r="H2" s="14" t="n">
        <f aca="false">SUM(U22,U24)-H3</f>
        <v>480</v>
      </c>
      <c r="I2" s="14" t="n">
        <f aca="false">SUM(V22,V24)-I3</f>
        <v>480</v>
      </c>
      <c r="J2" s="14" t="n">
        <f aca="false">SUM(W22,W24)-J3</f>
        <v>480</v>
      </c>
      <c r="K2" s="14" t="n">
        <f aca="false">SUM(X22,X24)-K3</f>
        <v>480</v>
      </c>
      <c r="L2" s="14" t="n">
        <f aca="false">SUM(Y22,Y24)-L3</f>
        <v>480</v>
      </c>
      <c r="N2" s="15" t="s">
        <v>13</v>
      </c>
      <c r="O2" s="16" t="n">
        <v>2900</v>
      </c>
      <c r="P2" s="17" t="n">
        <v>250</v>
      </c>
      <c r="Q2" s="17" t="n">
        <v>250</v>
      </c>
      <c r="R2" s="17" t="n">
        <v>250</v>
      </c>
      <c r="S2" s="17" t="n">
        <v>250</v>
      </c>
      <c r="T2" s="17" t="n">
        <v>250</v>
      </c>
      <c r="U2" s="17" t="n">
        <v>250</v>
      </c>
      <c r="V2" s="17" t="n">
        <v>250</v>
      </c>
      <c r="W2" s="17" t="n">
        <v>250</v>
      </c>
      <c r="X2" s="17" t="n">
        <v>250</v>
      </c>
      <c r="Y2" s="17" t="n">
        <v>250</v>
      </c>
    </row>
    <row r="3" customFormat="false" ht="14.45" hidden="false" customHeight="true" outlineLevel="0" collapsed="false">
      <c r="A3" s="18" t="s">
        <v>14</v>
      </c>
      <c r="B3" s="19" t="n">
        <f aca="false">MAX(0,B4-99999)</f>
        <v>0</v>
      </c>
      <c r="C3" s="19" t="n">
        <f aca="false">MAX(0,C4-99999)</f>
        <v>0</v>
      </c>
      <c r="D3" s="19" t="n">
        <f aca="false">MAX(0,D4-9999)</f>
        <v>0</v>
      </c>
      <c r="E3" s="19" t="n">
        <f aca="false">MAX(0,E4-9999)</f>
        <v>0</v>
      </c>
      <c r="F3" s="19" t="n">
        <f aca="false">MAX(0,F4-9999)</f>
        <v>0</v>
      </c>
      <c r="G3" s="19" t="n">
        <f aca="false">MAX(0,G4-9999)</f>
        <v>0</v>
      </c>
      <c r="H3" s="19" t="n">
        <f aca="false">MAX(0,H4-9999)</f>
        <v>0</v>
      </c>
      <c r="I3" s="19" t="n">
        <f aca="false">MAX(0,I4-9999)</f>
        <v>0</v>
      </c>
      <c r="J3" s="19" t="n">
        <f aca="false">MAX(0,J4-9999)</f>
        <v>0</v>
      </c>
      <c r="K3" s="19" t="n">
        <f aca="false">MAX(0,K4-9999)</f>
        <v>0</v>
      </c>
      <c r="L3" s="19" t="n">
        <f aca="false">MAX(0,L4-9999)</f>
        <v>0</v>
      </c>
      <c r="N3" s="20" t="s">
        <v>15</v>
      </c>
      <c r="O3" s="11" t="n">
        <v>2900</v>
      </c>
      <c r="P3" s="12" t="n">
        <v>250</v>
      </c>
      <c r="Q3" s="12" t="n">
        <v>250</v>
      </c>
      <c r="R3" s="12" t="n">
        <v>250</v>
      </c>
      <c r="S3" s="12" t="n">
        <v>250</v>
      </c>
      <c r="T3" s="12" t="n">
        <v>250</v>
      </c>
      <c r="U3" s="12" t="n">
        <v>250</v>
      </c>
      <c r="V3" s="12" t="n">
        <v>250</v>
      </c>
      <c r="W3" s="12" t="n">
        <v>250</v>
      </c>
      <c r="X3" s="12" t="n">
        <v>250</v>
      </c>
      <c r="Y3" s="12" t="n">
        <v>250</v>
      </c>
    </row>
    <row r="4" s="24" customFormat="true" ht="14.45" hidden="false" customHeight="true" outlineLevel="0" collapsed="false">
      <c r="A4" s="21" t="s">
        <v>12</v>
      </c>
      <c r="B4" s="21" t="n">
        <f aca="false">SUM(O22,O24)</f>
        <v>5400</v>
      </c>
      <c r="C4" s="21" t="n">
        <f aca="false">SUM(P22,P24)</f>
        <v>2750</v>
      </c>
      <c r="D4" s="21" t="n">
        <f aca="false">SUM(Q22,Q24)</f>
        <v>480</v>
      </c>
      <c r="E4" s="21" t="n">
        <f aca="false">SUM(R22,R24)</f>
        <v>480</v>
      </c>
      <c r="F4" s="21" t="n">
        <f aca="false">SUM(S22,S24)</f>
        <v>480</v>
      </c>
      <c r="G4" s="21" t="n">
        <f aca="false">SUM(T22,T24)</f>
        <v>480</v>
      </c>
      <c r="H4" s="21" t="n">
        <f aca="false">SUM(U22,U24)</f>
        <v>480</v>
      </c>
      <c r="I4" s="21" t="n">
        <f aca="false">SUM(V22,V24)</f>
        <v>480</v>
      </c>
      <c r="J4" s="21" t="n">
        <f aca="false">SUM(W22,W24)</f>
        <v>480</v>
      </c>
      <c r="K4" s="21" t="n">
        <f aca="false">SUM(X22,X24)</f>
        <v>480</v>
      </c>
      <c r="L4" s="21" t="n">
        <f aca="false">SUM(Y22,Y24)</f>
        <v>480</v>
      </c>
      <c r="M4" s="22"/>
      <c r="N4" s="20"/>
      <c r="O4" s="23"/>
      <c r="P4" s="12"/>
      <c r="Q4" s="12"/>
      <c r="R4" s="12"/>
      <c r="S4" s="12"/>
      <c r="T4" s="12"/>
      <c r="U4" s="12"/>
      <c r="V4" s="12"/>
      <c r="W4" s="12"/>
      <c r="X4" s="12"/>
      <c r="Y4" s="12"/>
      <c r="Z4" s="22"/>
      <c r="AA4" s="12"/>
      <c r="AB4" s="12"/>
      <c r="AC4" s="12"/>
      <c r="AD4" s="12"/>
      <c r="AE4" s="12"/>
      <c r="AF4" s="12"/>
      <c r="AG4" s="12"/>
      <c r="AH4" s="12"/>
      <c r="XFA4" s="25"/>
      <c r="XFB4" s="25"/>
      <c r="XFC4" s="25"/>
      <c r="XFD4" s="25"/>
    </row>
    <row r="5" customFormat="false" ht="14.45" hidden="false" customHeight="true" outlineLevel="0" collapsed="false">
      <c r="A5" s="10"/>
      <c r="B5" s="11" t="s">
        <v>1</v>
      </c>
      <c r="C5" s="11" t="s">
        <v>2</v>
      </c>
      <c r="D5" s="11" t="s">
        <v>3</v>
      </c>
      <c r="E5" s="11" t="s">
        <v>4</v>
      </c>
      <c r="F5" s="11" t="s">
        <v>5</v>
      </c>
      <c r="G5" s="11" t="s">
        <v>6</v>
      </c>
      <c r="H5" s="11" t="s">
        <v>7</v>
      </c>
      <c r="I5" s="11" t="s">
        <v>8</v>
      </c>
      <c r="J5" s="11" t="s">
        <v>9</v>
      </c>
      <c r="K5" s="11" t="s">
        <v>10</v>
      </c>
      <c r="L5" s="11" t="s">
        <v>11</v>
      </c>
      <c r="N5" s="26" t="s">
        <v>16</v>
      </c>
      <c r="O5" s="27" t="n">
        <v>900</v>
      </c>
      <c r="P5" s="28" t="n">
        <v>900</v>
      </c>
      <c r="Q5" s="28" t="n">
        <v>70</v>
      </c>
      <c r="R5" s="28" t="n">
        <v>70</v>
      </c>
      <c r="S5" s="28" t="n">
        <v>70</v>
      </c>
      <c r="T5" s="28" t="n">
        <v>70</v>
      </c>
      <c r="U5" s="28" t="n">
        <v>70</v>
      </c>
      <c r="V5" s="28" t="n">
        <v>70</v>
      </c>
      <c r="W5" s="28" t="n">
        <v>70</v>
      </c>
      <c r="X5" s="28" t="n">
        <v>70</v>
      </c>
      <c r="Y5" s="28" t="n">
        <v>70</v>
      </c>
      <c r="Z5" s="6"/>
    </row>
    <row r="6" customFormat="false" ht="14.45" hidden="false" customHeight="true" outlineLevel="0" collapsed="false">
      <c r="A6" s="15" t="s">
        <v>17</v>
      </c>
      <c r="B6" s="16"/>
      <c r="C6" s="17"/>
      <c r="D6" s="17"/>
      <c r="E6" s="17"/>
      <c r="F6" s="17"/>
      <c r="G6" s="17"/>
      <c r="H6" s="17"/>
      <c r="I6" s="17"/>
      <c r="J6" s="17"/>
      <c r="K6" s="17"/>
      <c r="L6" s="17"/>
      <c r="N6" s="29" t="s">
        <v>18</v>
      </c>
      <c r="O6" s="16" t="n">
        <v>1000</v>
      </c>
      <c r="P6" s="17" t="n">
        <v>1000</v>
      </c>
      <c r="Q6" s="17" t="n">
        <v>100</v>
      </c>
      <c r="R6" s="17" t="n">
        <v>100</v>
      </c>
      <c r="S6" s="17" t="n">
        <v>100</v>
      </c>
      <c r="T6" s="17" t="n">
        <v>100</v>
      </c>
      <c r="U6" s="17" t="n">
        <v>100</v>
      </c>
      <c r="V6" s="17" t="n">
        <v>100</v>
      </c>
      <c r="W6" s="17" t="n">
        <v>100</v>
      </c>
      <c r="X6" s="17" t="n">
        <v>100</v>
      </c>
      <c r="Y6" s="17" t="n">
        <v>100</v>
      </c>
      <c r="Z6" s="30"/>
    </row>
    <row r="7" customFormat="false" ht="14.45" hidden="false" customHeight="true" outlineLevel="0" collapsed="false">
      <c r="A7" s="15" t="s">
        <v>19</v>
      </c>
      <c r="B7" s="16"/>
      <c r="C7" s="17"/>
      <c r="D7" s="17"/>
      <c r="E7" s="17"/>
      <c r="F7" s="17"/>
      <c r="G7" s="17"/>
      <c r="H7" s="17"/>
      <c r="I7" s="17"/>
      <c r="J7" s="17"/>
      <c r="K7" s="17"/>
      <c r="L7" s="17"/>
      <c r="N7" s="31" t="s">
        <v>20</v>
      </c>
      <c r="O7" s="32" t="n">
        <v>600</v>
      </c>
      <c r="P7" s="33" t="n">
        <v>600</v>
      </c>
      <c r="Q7" s="33" t="n">
        <v>60</v>
      </c>
      <c r="R7" s="33" t="n">
        <v>60</v>
      </c>
      <c r="S7" s="33" t="n">
        <v>60</v>
      </c>
      <c r="T7" s="33" t="n">
        <v>60</v>
      </c>
      <c r="U7" s="33" t="n">
        <v>60</v>
      </c>
      <c r="V7" s="33" t="n">
        <v>60</v>
      </c>
      <c r="W7" s="33" t="n">
        <v>60</v>
      </c>
      <c r="X7" s="33" t="n">
        <v>60</v>
      </c>
      <c r="Y7" s="33" t="n">
        <v>60</v>
      </c>
      <c r="Z7" s="30"/>
    </row>
    <row r="8" customFormat="false" ht="14.45" hidden="false" customHeight="true" outlineLevel="0" collapsed="false">
      <c r="A8" s="34" t="s">
        <v>21</v>
      </c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N8" s="26" t="s">
        <v>22</v>
      </c>
      <c r="O8" s="35"/>
      <c r="P8" s="36"/>
      <c r="Q8" s="36"/>
      <c r="R8" s="36"/>
      <c r="S8" s="36"/>
      <c r="T8" s="36"/>
      <c r="U8" s="36"/>
      <c r="V8" s="36"/>
      <c r="W8" s="36"/>
      <c r="X8" s="36"/>
      <c r="Y8" s="36"/>
      <c r="Z8" s="30"/>
    </row>
    <row r="9" customFormat="false" ht="14.45" hidden="false" customHeight="true" outlineLevel="0" collapsed="false">
      <c r="A9" s="34" t="s">
        <v>23</v>
      </c>
      <c r="B9" s="27"/>
      <c r="C9" s="28"/>
      <c r="D9" s="28"/>
      <c r="E9" s="28"/>
      <c r="F9" s="28"/>
      <c r="G9" s="28"/>
      <c r="H9" s="28"/>
      <c r="I9" s="28"/>
      <c r="J9" s="28"/>
      <c r="K9" s="28"/>
      <c r="L9" s="28"/>
      <c r="N9" s="26" t="s">
        <v>24</v>
      </c>
      <c r="O9" s="35"/>
      <c r="P9" s="36"/>
      <c r="Q9" s="36"/>
      <c r="R9" s="36"/>
      <c r="S9" s="36"/>
      <c r="T9" s="36"/>
      <c r="U9" s="36"/>
      <c r="V9" s="36"/>
      <c r="W9" s="36"/>
      <c r="X9" s="36"/>
      <c r="Y9" s="36"/>
      <c r="Z9" s="30"/>
    </row>
    <row r="10" customFormat="false" ht="14.45" hidden="false" customHeight="true" outlineLevel="0" collapsed="false">
      <c r="A10" s="15" t="s">
        <v>25</v>
      </c>
      <c r="B10" s="16"/>
      <c r="C10" s="17"/>
      <c r="D10" s="17"/>
      <c r="E10" s="17"/>
      <c r="F10" s="17"/>
      <c r="G10" s="17"/>
      <c r="H10" s="17"/>
      <c r="I10" s="17"/>
      <c r="J10" s="17"/>
      <c r="K10" s="17"/>
      <c r="L10" s="17"/>
      <c r="N10" s="29" t="s">
        <v>26</v>
      </c>
      <c r="O10" s="32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0"/>
    </row>
    <row r="11" customFormat="false" ht="14.45" hidden="false" customHeight="true" outlineLevel="0" collapsed="false">
      <c r="A11" s="15" t="s">
        <v>27</v>
      </c>
      <c r="B11" s="16"/>
      <c r="C11" s="17"/>
      <c r="D11" s="17"/>
      <c r="E11" s="17"/>
      <c r="F11" s="17"/>
      <c r="G11" s="17"/>
      <c r="H11" s="17"/>
      <c r="I11" s="17"/>
      <c r="J11" s="17"/>
      <c r="K11" s="17"/>
      <c r="L11" s="17"/>
      <c r="N11" s="26" t="s">
        <v>28</v>
      </c>
      <c r="O11" s="27"/>
      <c r="P11" s="36"/>
      <c r="Q11" s="27"/>
      <c r="R11" s="36"/>
      <c r="S11" s="27"/>
      <c r="T11" s="36"/>
      <c r="U11" s="27"/>
      <c r="V11" s="36"/>
      <c r="W11" s="27"/>
      <c r="X11" s="36"/>
      <c r="Y11" s="27"/>
      <c r="Z11" s="30"/>
    </row>
    <row r="12" customFormat="false" ht="14.45" hidden="false" customHeight="true" outlineLevel="0" collapsed="false">
      <c r="A12" s="15" t="s">
        <v>29</v>
      </c>
      <c r="B12" s="16"/>
      <c r="C12" s="17"/>
      <c r="D12" s="17"/>
      <c r="E12" s="17"/>
      <c r="F12" s="17"/>
      <c r="G12" s="17"/>
      <c r="H12" s="17"/>
      <c r="I12" s="17"/>
      <c r="J12" s="17"/>
      <c r="K12" s="17"/>
      <c r="L12" s="17"/>
      <c r="N12" s="29" t="s">
        <v>30</v>
      </c>
      <c r="O12" s="32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0"/>
    </row>
    <row r="13" customFormat="false" ht="14.45" hidden="false" customHeight="true" outlineLevel="0" collapsed="false">
      <c r="A13" s="34" t="s">
        <v>31</v>
      </c>
      <c r="B13" s="27"/>
      <c r="C13" s="28"/>
      <c r="D13" s="28"/>
      <c r="E13" s="28"/>
      <c r="F13" s="28"/>
      <c r="G13" s="28"/>
      <c r="H13" s="28"/>
      <c r="I13" s="28"/>
      <c r="J13" s="28"/>
      <c r="K13" s="28"/>
      <c r="L13" s="28"/>
      <c r="N13" s="26" t="s">
        <v>32</v>
      </c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0"/>
    </row>
    <row r="14" customFormat="false" ht="14.45" hidden="false" customHeight="true" outlineLevel="0" collapsed="false">
      <c r="A14" s="34" t="s">
        <v>33</v>
      </c>
      <c r="B14" s="27"/>
      <c r="C14" s="28"/>
      <c r="D14" s="28"/>
      <c r="E14" s="28"/>
      <c r="F14" s="28"/>
      <c r="G14" s="28"/>
      <c r="H14" s="28"/>
      <c r="I14" s="28"/>
      <c r="J14" s="28"/>
      <c r="K14" s="28"/>
      <c r="L14" s="28"/>
      <c r="N14" s="37" t="s">
        <v>34</v>
      </c>
      <c r="O14" s="38" t="n">
        <f aca="false">O13/10</f>
        <v>0</v>
      </c>
      <c r="P14" s="39" t="n">
        <f aca="false">P13/10</f>
        <v>0</v>
      </c>
      <c r="Q14" s="39" t="n">
        <f aca="false">Q13/10</f>
        <v>0</v>
      </c>
      <c r="R14" s="39" t="n">
        <f aca="false">R13/10</f>
        <v>0</v>
      </c>
      <c r="S14" s="39" t="n">
        <f aca="false">S13/10</f>
        <v>0</v>
      </c>
      <c r="T14" s="39" t="n">
        <f aca="false">T13/10</f>
        <v>0</v>
      </c>
      <c r="U14" s="39" t="n">
        <f aca="false">U13/10</f>
        <v>0</v>
      </c>
      <c r="V14" s="39" t="n">
        <f aca="false">V13/10</f>
        <v>0</v>
      </c>
      <c r="W14" s="39" t="n">
        <f aca="false">W13/10</f>
        <v>0</v>
      </c>
      <c r="X14" s="39" t="n">
        <f aca="false">X13/10</f>
        <v>0</v>
      </c>
      <c r="Y14" s="39" t="n">
        <f aca="false">Y13/10</f>
        <v>0</v>
      </c>
    </row>
    <row r="15" customFormat="false" ht="14.45" hidden="false" customHeight="true" outlineLevel="0" collapsed="false">
      <c r="A15" s="34" t="s">
        <v>35</v>
      </c>
      <c r="B15" s="27"/>
      <c r="C15" s="28"/>
      <c r="D15" s="28"/>
      <c r="E15" s="28"/>
      <c r="F15" s="28"/>
      <c r="G15" s="28"/>
      <c r="H15" s="28"/>
      <c r="I15" s="28"/>
      <c r="J15" s="28"/>
      <c r="K15" s="28"/>
      <c r="L15" s="28"/>
      <c r="N15" s="19" t="s">
        <v>36</v>
      </c>
      <c r="O15" s="40" t="b">
        <v>0</v>
      </c>
      <c r="P15" s="41" t="n">
        <f aca="false">FALSE()</f>
        <v>0</v>
      </c>
      <c r="Q15" s="41" t="b">
        <v>0</v>
      </c>
      <c r="R15" s="41" t="n">
        <f aca="false">FALSE()</f>
        <v>0</v>
      </c>
      <c r="S15" s="41" t="n">
        <f aca="false">FALSE()</f>
        <v>0</v>
      </c>
      <c r="T15" s="41" t="n">
        <f aca="false">FALSE()</f>
        <v>0</v>
      </c>
      <c r="U15" s="41" t="n">
        <f aca="false">FALSE()</f>
        <v>0</v>
      </c>
      <c r="V15" s="41" t="n">
        <f aca="false">FALSE()</f>
        <v>0</v>
      </c>
      <c r="W15" s="41" t="n">
        <f aca="false">FALSE()</f>
        <v>0</v>
      </c>
      <c r="X15" s="41" t="n">
        <f aca="false">FALSE()</f>
        <v>0</v>
      </c>
      <c r="Y15" s="41" t="n">
        <f aca="false">FALSE()</f>
        <v>0</v>
      </c>
      <c r="Z15" s="30"/>
    </row>
    <row r="16" customFormat="false" ht="14.45" hidden="false" customHeight="true" outlineLevel="0" collapsed="false">
      <c r="A16" s="15" t="s">
        <v>37</v>
      </c>
      <c r="B16" s="16"/>
      <c r="C16" s="17"/>
      <c r="D16" s="17"/>
      <c r="E16" s="17"/>
      <c r="F16" s="17"/>
      <c r="G16" s="17"/>
      <c r="H16" s="17"/>
      <c r="I16" s="17"/>
      <c r="J16" s="17"/>
      <c r="K16" s="17"/>
      <c r="L16" s="17"/>
      <c r="N16" s="19" t="s">
        <v>38</v>
      </c>
      <c r="O16" s="19" t="n">
        <f aca="false">IF(O15, (O13/10)*1.5, O13/10)</f>
        <v>0</v>
      </c>
      <c r="P16" s="19" t="n">
        <f aca="false">IF(P15, (P13/10)*1.5, P13/10)</f>
        <v>0</v>
      </c>
      <c r="Q16" s="19" t="n">
        <f aca="false">IF(Q15, (Q13/10)*1.5, Q13/10)</f>
        <v>0</v>
      </c>
      <c r="R16" s="19" t="n">
        <f aca="false">IF(R15, (R13/10)*1.5, R13/10)</f>
        <v>0</v>
      </c>
      <c r="S16" s="19" t="n">
        <f aca="false">IF(S15, (S13/10)*1.5, S13/10)</f>
        <v>0</v>
      </c>
      <c r="T16" s="19" t="n">
        <f aca="false">IF(T15, (T13/10)*1.5, T13/10)</f>
        <v>0</v>
      </c>
      <c r="U16" s="19" t="n">
        <f aca="false">IF(U15, (U13/10)*1.5, U13/10)</f>
        <v>0</v>
      </c>
      <c r="V16" s="19" t="n">
        <f aca="false">IF(V15, (V13/10)*1.5, V13/10)</f>
        <v>0</v>
      </c>
      <c r="W16" s="19" t="n">
        <f aca="false">IF(W15, (W13/10)*1.5, W13/10)</f>
        <v>0</v>
      </c>
      <c r="X16" s="19" t="n">
        <f aca="false">IF(X15, (X13/10)*1.5, X13/10)</f>
        <v>0</v>
      </c>
      <c r="Y16" s="19" t="n">
        <f aca="false">IF(Y15, (Y13/10)*1.5, Y13/10)</f>
        <v>0</v>
      </c>
      <c r="Z16" s="30"/>
    </row>
    <row r="17" customFormat="false" ht="14.45" hidden="false" customHeight="true" outlineLevel="0" collapsed="false">
      <c r="A17" s="15" t="s">
        <v>39</v>
      </c>
      <c r="B17" s="16"/>
      <c r="C17" s="17"/>
      <c r="D17" s="17"/>
      <c r="E17" s="17"/>
      <c r="F17" s="17"/>
      <c r="G17" s="17"/>
      <c r="H17" s="17"/>
      <c r="I17" s="17"/>
      <c r="J17" s="17"/>
      <c r="K17" s="17"/>
      <c r="L17" s="17"/>
      <c r="N17" s="29" t="s">
        <v>40</v>
      </c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0"/>
    </row>
    <row r="18" customFormat="false" ht="14.45" hidden="false" customHeight="true" outlineLevel="0" collapsed="false">
      <c r="A18" s="34" t="s">
        <v>41</v>
      </c>
      <c r="B18" s="27"/>
      <c r="C18" s="28"/>
      <c r="D18" s="28"/>
      <c r="E18" s="28"/>
      <c r="F18" s="28"/>
      <c r="G18" s="28"/>
      <c r="H18" s="28"/>
      <c r="I18" s="28"/>
      <c r="J18" s="28"/>
      <c r="K18" s="28"/>
      <c r="L18" s="28"/>
      <c r="N18" s="37" t="s">
        <v>34</v>
      </c>
      <c r="O18" s="38" t="n">
        <f aca="false">O17/10</f>
        <v>0</v>
      </c>
      <c r="P18" s="39" t="n">
        <f aca="false">P17/10</f>
        <v>0</v>
      </c>
      <c r="Q18" s="39" t="n">
        <f aca="false">Q17/10</f>
        <v>0</v>
      </c>
      <c r="R18" s="39" t="n">
        <f aca="false">R17/10</f>
        <v>0</v>
      </c>
      <c r="S18" s="39" t="n">
        <f aca="false">S17/10</f>
        <v>0</v>
      </c>
      <c r="T18" s="39" t="n">
        <f aca="false">T17/10</f>
        <v>0</v>
      </c>
      <c r="U18" s="39" t="n">
        <f aca="false">U17/10</f>
        <v>0</v>
      </c>
      <c r="V18" s="39" t="n">
        <f aca="false">V17/10</f>
        <v>0</v>
      </c>
      <c r="W18" s="39" t="n">
        <f aca="false">W17/10</f>
        <v>0</v>
      </c>
      <c r="X18" s="39" t="n">
        <f aca="false">X17/10</f>
        <v>0</v>
      </c>
      <c r="Y18" s="39" t="n">
        <f aca="false">Y17/10</f>
        <v>0</v>
      </c>
      <c r="Z18" s="30"/>
    </row>
    <row r="19" customFormat="false" ht="14.45" hidden="false" customHeight="true" outlineLevel="0" collapsed="false">
      <c r="A19" s="34" t="s">
        <v>42</v>
      </c>
      <c r="B19" s="27"/>
      <c r="C19" s="28"/>
      <c r="D19" s="28"/>
      <c r="E19" s="28"/>
      <c r="F19" s="28"/>
      <c r="G19" s="28"/>
      <c r="H19" s="28"/>
      <c r="I19" s="28"/>
      <c r="J19" s="28"/>
      <c r="K19" s="28"/>
      <c r="L19" s="28"/>
      <c r="N19" s="19" t="s">
        <v>43</v>
      </c>
      <c r="O19" s="19" t="s">
        <v>44</v>
      </c>
      <c r="P19" s="36"/>
      <c r="Q19" s="42"/>
      <c r="R19" s="42"/>
      <c r="S19" s="42"/>
      <c r="T19" s="42"/>
      <c r="U19" s="42"/>
      <c r="V19" s="42"/>
      <c r="W19" s="42"/>
      <c r="X19" s="42"/>
      <c r="Y19" s="42"/>
      <c r="Z19" s="30"/>
    </row>
    <row r="20" customFormat="false" ht="14.45" hidden="false" customHeight="true" outlineLevel="0" collapsed="false">
      <c r="A20" s="15" t="s">
        <v>45</v>
      </c>
      <c r="B20" s="16"/>
      <c r="C20" s="17"/>
      <c r="D20" s="17"/>
      <c r="E20" s="17"/>
      <c r="F20" s="17"/>
      <c r="G20" s="17"/>
      <c r="H20" s="17"/>
      <c r="I20" s="17"/>
      <c r="J20" s="17"/>
      <c r="K20" s="17"/>
      <c r="L20" s="17"/>
      <c r="N20" s="19" t="s">
        <v>38</v>
      </c>
      <c r="O20" s="19" t="n">
        <f aca="false">O18*(1+(P19/100))</f>
        <v>0</v>
      </c>
      <c r="P20" s="19" t="n">
        <f aca="false">P18*(1+(P19/100))</f>
        <v>0</v>
      </c>
      <c r="Q20" s="19" t="n">
        <f aca="false">Q18*(1+(P19/100))</f>
        <v>0</v>
      </c>
      <c r="R20" s="19" t="n">
        <f aca="false">R18*(1+(P19/100))</f>
        <v>0</v>
      </c>
      <c r="S20" s="19" t="n">
        <f aca="false">S18*(1+(P19/100))</f>
        <v>0</v>
      </c>
      <c r="T20" s="19" t="n">
        <f aca="false">T18*(1+(P19/100))</f>
        <v>0</v>
      </c>
      <c r="U20" s="19" t="n">
        <f aca="false">U18*(1+(P19/100))</f>
        <v>0</v>
      </c>
      <c r="V20" s="19" t="n">
        <f aca="false">V18*(1+(P19/100))</f>
        <v>0</v>
      </c>
      <c r="W20" s="19" t="n">
        <f aca="false">W18*(1+(P19/100))</f>
        <v>0</v>
      </c>
      <c r="X20" s="19" t="n">
        <f aca="false">X18*(1+(P19/100))</f>
        <v>0</v>
      </c>
      <c r="Y20" s="19" t="n">
        <f aca="false">Y18*(1+(P19/100))</f>
        <v>0</v>
      </c>
      <c r="Z20" s="30"/>
    </row>
    <row r="21" customFormat="false" ht="14.45" hidden="false" customHeight="true" outlineLevel="0" collapsed="false">
      <c r="A21" s="34" t="s">
        <v>46</v>
      </c>
      <c r="B21" s="27"/>
      <c r="C21" s="28"/>
      <c r="D21" s="28"/>
      <c r="E21" s="28"/>
      <c r="F21" s="28"/>
      <c r="G21" s="28"/>
      <c r="H21" s="28"/>
      <c r="I21" s="28"/>
      <c r="J21" s="28"/>
      <c r="K21" s="28"/>
      <c r="L21" s="28"/>
      <c r="N21" s="43" t="s">
        <v>47</v>
      </c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30"/>
    </row>
    <row r="22" customFormat="false" ht="14.45" hidden="false" customHeight="true" outlineLevel="0" collapsed="false">
      <c r="A22" s="15" t="s">
        <v>48</v>
      </c>
      <c r="B22" s="16"/>
      <c r="C22" s="17"/>
      <c r="D22" s="17"/>
      <c r="E22" s="17"/>
      <c r="F22" s="17"/>
      <c r="G22" s="17"/>
      <c r="H22" s="17"/>
      <c r="I22" s="17"/>
      <c r="J22" s="17"/>
      <c r="K22" s="17"/>
      <c r="L22" s="17"/>
      <c r="N22" s="45" t="s">
        <v>49</v>
      </c>
      <c r="O22" s="45" t="n">
        <f aca="false">SUM(B7,B9,B11,B12,B14,B15,B17,O2,O5,O6,O16,O12,O20,O7,O9,O10,O8,B28,O11)</f>
        <v>5400</v>
      </c>
      <c r="P22" s="45" t="n">
        <f aca="false">SUM(C7,C9,C11,C12,C14,C15,C17,P2,P5,P6,P16,P12,P20,P7,P9,P10,P8,C28,P11)</f>
        <v>2750</v>
      </c>
      <c r="Q22" s="45" t="n">
        <f aca="false">SUM(D7,D9,D11,D12,D14,D15,D17,Q2,Q5,Q6,Q16,Q12,Q20,Q7,Q9,Q10,Q8,D28,Q11)</f>
        <v>480</v>
      </c>
      <c r="R22" s="45" t="n">
        <f aca="false">SUM(E7,E9,E11,E12,E14,E15,E17,R2,R5,R6,R16,R12,R20,R7,R9,R10,R8,E28,R11)</f>
        <v>480</v>
      </c>
      <c r="S22" s="45" t="n">
        <f aca="false">SUM(F7,F9,F11,F12,F14,F15,F17,S2,S5,S6,S16,S12,S20,S7,S9,S10,S8,F28,S11)</f>
        <v>480</v>
      </c>
      <c r="T22" s="45" t="n">
        <f aca="false">SUM(G7,G9,G11,G12,G14,G15,G17,T2,T5,T6,T16,T12,T20,T7,T9,T10,T8,G28,T11)</f>
        <v>480</v>
      </c>
      <c r="U22" s="45" t="n">
        <f aca="false">SUM(H7,H9,H11,H12,H14,H15,H17,U2,U5,U6,U16,U12,U20,U7,U9,U10,U8,H28,U11)</f>
        <v>480</v>
      </c>
      <c r="V22" s="45" t="n">
        <f aca="false">SUM(I7,I9,I11,I12,I14,I15,I17,V2,V5,V6,V16,V12,V20,V7,V9,V10,V8,I28,V11)</f>
        <v>480</v>
      </c>
      <c r="W22" s="45" t="n">
        <f aca="false">SUM(J7,J9,J11,J12,J14,J15,J17,W2,W5,W6,W16,W12,W20,W7,W9,W10,W8,J28,W11)</f>
        <v>480</v>
      </c>
      <c r="X22" s="45" t="n">
        <f aca="false">SUM(K7,K9,K11,K12,K14,K15,K17,X2,X5,X6,X16,X12,X20,X7,X9,X10,X8,K28,X11)</f>
        <v>480</v>
      </c>
      <c r="Y22" s="45" t="n">
        <f aca="false">SUM(L7,L9,L11,L12,L14,L15,L17,Y2,Y5,Y6,Y16,Y12,Y20,Y7,Y9,Y10,Y8,L28,Y11)</f>
        <v>480</v>
      </c>
      <c r="Z22" s="30"/>
    </row>
    <row r="23" customFormat="false" ht="14.45" hidden="false" customHeight="true" outlineLevel="0" collapsed="false">
      <c r="A23" s="34" t="s">
        <v>50</v>
      </c>
      <c r="B23" s="27"/>
      <c r="C23" s="28"/>
      <c r="D23" s="28"/>
      <c r="E23" s="28"/>
      <c r="F23" s="28"/>
      <c r="G23" s="28"/>
      <c r="H23" s="28"/>
      <c r="I23" s="28"/>
      <c r="J23" s="28"/>
      <c r="K23" s="28"/>
      <c r="L23" s="28"/>
      <c r="N23" s="46" t="s">
        <v>51</v>
      </c>
      <c r="O23" s="45" t="n">
        <f aca="false">SUM(B6,B8,B10,B13,B18,B19,B20,B21,B22,B23,B24,B25,B26,B27)</f>
        <v>0</v>
      </c>
      <c r="P23" s="45" t="n">
        <f aca="false">SUM(C6,C8,C10,C13,C18,C19,C20,C21,C22,C23,C24,C25,C26,C27)</f>
        <v>0</v>
      </c>
      <c r="Q23" s="45" t="n">
        <f aca="false">SUM(D6,D8,D10,D13,D18,D19,D20,D21,D22,D23,D24,D25,D26,D27)</f>
        <v>0</v>
      </c>
      <c r="R23" s="45" t="n">
        <f aca="false">SUM(E6,E8,E10,E13,E18,E19,E20,E21,E22,E23,E24,E25,E26,E27)</f>
        <v>0</v>
      </c>
      <c r="S23" s="45" t="n">
        <f aca="false">SUM(F6,F8,F10,F13,F18,F19,F20,F21,F22,F23,F24,F25,F26,F27)</f>
        <v>0</v>
      </c>
      <c r="T23" s="45" t="n">
        <f aca="false">SUM(G6,G8,G10,G13,G18,G19,G20,G21,G22,G23,G24,G25,G26,G27)</f>
        <v>0</v>
      </c>
      <c r="U23" s="45" t="n">
        <f aca="false">SUM(H6,H8,H10,H13,H18,H19,H20,H21,H22,H23,H24,H25,H26,H27)</f>
        <v>0</v>
      </c>
      <c r="V23" s="45" t="n">
        <f aca="false">SUM(I6,I8,I10,I13,I18,I19,I20,I21,I22,I23,I24,I25,I26,I27)</f>
        <v>0</v>
      </c>
      <c r="W23" s="45" t="n">
        <f aca="false">SUM(J6,J8,J10,J13,J18,J19,J20,J21,J22,J23,J24,J25,J26,J27)</f>
        <v>0</v>
      </c>
      <c r="X23" s="45" t="n">
        <f aca="false">SUM(K6,K8,K10,K13,K18,K19,K20,K21,K22,K23,K24,K25,K26,K27)</f>
        <v>0</v>
      </c>
      <c r="Y23" s="45" t="n">
        <f aca="false">SUM(L6,L8,L10,L13,L18,L19,L20,L21,L22,L23,L24,L25,L26,L27)</f>
        <v>0</v>
      </c>
      <c r="Z23" s="30"/>
    </row>
    <row r="24" customFormat="false" ht="14.45" hidden="false" customHeight="true" outlineLevel="0" collapsed="false">
      <c r="A24" s="15" t="s">
        <v>52</v>
      </c>
      <c r="B24" s="16"/>
      <c r="C24" s="17"/>
      <c r="D24" s="17"/>
      <c r="E24" s="17"/>
      <c r="F24" s="17"/>
      <c r="G24" s="17"/>
      <c r="H24" s="17"/>
      <c r="I24" s="17"/>
      <c r="J24" s="17"/>
      <c r="K24" s="17"/>
      <c r="L24" s="17"/>
      <c r="N24" s="47" t="s">
        <v>53</v>
      </c>
      <c r="O24" s="19" t="n">
        <f aca="false">IF(O23&lt;=O21, O23, O21+(O23-O21)/2)</f>
        <v>0</v>
      </c>
      <c r="P24" s="19" t="n">
        <f aca="false">IF(P23&lt;=P21, P23, P21+(P23-P21)/2)</f>
        <v>0</v>
      </c>
      <c r="Q24" s="19" t="n">
        <f aca="false">IF(Q23&lt;=Q21, Q23, Q21+(Q23-Q21)/2)</f>
        <v>0</v>
      </c>
      <c r="R24" s="19" t="n">
        <f aca="false">IF(R23&lt;=R21, R23, R21+(R23-R21)/2)</f>
        <v>0</v>
      </c>
      <c r="S24" s="19" t="n">
        <f aca="false">IF(S23&lt;=S21, S23, S21+(S23-S21)/2)</f>
        <v>0</v>
      </c>
      <c r="T24" s="19" t="n">
        <f aca="false">IF(T23&lt;=T21, T23, T21+(T23-T21)/2)</f>
        <v>0</v>
      </c>
      <c r="U24" s="19" t="n">
        <f aca="false">IF(U23&lt;=U21, U23, U21+(U23-U21)/2)</f>
        <v>0</v>
      </c>
      <c r="V24" s="19" t="n">
        <f aca="false">IF(V23&lt;=V21, V23, V21+(V23-V21)/2)</f>
        <v>0</v>
      </c>
      <c r="W24" s="19" t="n">
        <f aca="false">IF(W23&lt;=W21, W23, W21+(W23-W21)/2)</f>
        <v>0</v>
      </c>
      <c r="X24" s="19" t="n">
        <f aca="false">IF(X23&lt;=X21, X23, X21+(X23-X21)/2)</f>
        <v>0</v>
      </c>
      <c r="Y24" s="19" t="n">
        <f aca="false">IF(Y23&lt;=Y21, Y23, Y21+(Y23-Y21)/2)</f>
        <v>0</v>
      </c>
      <c r="Z24" s="30"/>
    </row>
    <row r="25" customFormat="false" ht="16.15" hidden="false" customHeight="true" outlineLevel="0" collapsed="false">
      <c r="A25" s="34" t="s">
        <v>54</v>
      </c>
      <c r="B25" s="27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2"/>
      <c r="N25" s="25"/>
      <c r="O25" s="48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30"/>
    </row>
    <row r="26" customFormat="false" ht="16.15" hidden="false" customHeight="true" outlineLevel="0" collapsed="false">
      <c r="A26" s="15" t="s">
        <v>55</v>
      </c>
      <c r="B26" s="16"/>
      <c r="C26" s="17"/>
      <c r="D26" s="17"/>
      <c r="E26" s="17"/>
      <c r="F26" s="17"/>
      <c r="G26" s="17"/>
      <c r="H26" s="17"/>
      <c r="I26" s="17"/>
      <c r="J26" s="17"/>
      <c r="K26" s="17"/>
      <c r="L26" s="17"/>
      <c r="N26" s="25"/>
      <c r="O26" s="48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30"/>
    </row>
    <row r="27" customFormat="false" ht="16.15" hidden="false" customHeight="true" outlineLevel="0" collapsed="false">
      <c r="A27" s="34" t="s">
        <v>56</v>
      </c>
      <c r="B27" s="27"/>
      <c r="C27" s="28"/>
      <c r="D27" s="28"/>
      <c r="E27" s="28"/>
      <c r="F27" s="28"/>
      <c r="G27" s="28"/>
      <c r="H27" s="28"/>
      <c r="I27" s="28"/>
      <c r="J27" s="28"/>
      <c r="K27" s="28"/>
      <c r="L27" s="28"/>
      <c r="N27" s="25"/>
      <c r="O27" s="48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30"/>
    </row>
    <row r="28" customFormat="false" ht="16.15" hidden="false" customHeight="true" outlineLevel="0" collapsed="false">
      <c r="A28" s="15" t="s">
        <v>57</v>
      </c>
      <c r="B28" s="16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30"/>
      <c r="N28" s="25"/>
      <c r="O28" s="48"/>
      <c r="P28" s="25"/>
      <c r="Q28" s="25"/>
      <c r="R28" s="25"/>
      <c r="S28" s="25"/>
      <c r="T28" s="25"/>
      <c r="U28" s="25"/>
      <c r="V28" s="25"/>
      <c r="W28" s="25"/>
      <c r="X28" s="25"/>
      <c r="Y28" s="25"/>
    </row>
    <row r="29" customFormat="false" ht="16.15" hidden="false" customHeight="true" outlineLevel="0" collapsed="false">
      <c r="N29" s="25"/>
      <c r="O29" s="48"/>
      <c r="P29" s="25"/>
      <c r="Q29" s="25"/>
      <c r="R29" s="25"/>
      <c r="S29" s="25"/>
      <c r="T29" s="25"/>
      <c r="U29" s="25"/>
      <c r="V29" s="25"/>
      <c r="W29" s="25"/>
      <c r="X29" s="25"/>
      <c r="Y29" s="25"/>
    </row>
    <row r="30" customFormat="false" ht="16.15" hidden="false" customHeight="true" outlineLevel="0" collapsed="false">
      <c r="N30" s="25"/>
      <c r="O30" s="48"/>
      <c r="P30" s="25"/>
      <c r="Q30" s="25"/>
      <c r="R30" s="25"/>
      <c r="S30" s="25"/>
      <c r="T30" s="25"/>
      <c r="U30" s="25"/>
      <c r="V30" s="25"/>
      <c r="W30" s="25"/>
      <c r="X30" s="25"/>
      <c r="Y30" s="25"/>
    </row>
    <row r="31" customFormat="false" ht="16.15" hidden="false" customHeight="true" outlineLevel="0" collapsed="false">
      <c r="N31" s="25"/>
      <c r="O31" s="48"/>
      <c r="P31" s="25"/>
      <c r="Q31" s="25"/>
      <c r="R31" s="25"/>
      <c r="S31" s="25"/>
      <c r="T31" s="25"/>
      <c r="U31" s="25"/>
      <c r="V31" s="25"/>
      <c r="W31" s="25"/>
      <c r="X31" s="25"/>
      <c r="Y31" s="25"/>
    </row>
    <row r="32" customFormat="false" ht="16.15" hidden="false" customHeight="true" outlineLevel="0" collapsed="false">
      <c r="N32" s="25"/>
      <c r="O32" s="48"/>
      <c r="P32" s="25"/>
      <c r="Q32" s="25"/>
      <c r="R32" s="25"/>
      <c r="S32" s="25"/>
      <c r="T32" s="25"/>
      <c r="U32" s="25"/>
      <c r="V32" s="25"/>
      <c r="W32" s="25"/>
      <c r="X32" s="25"/>
      <c r="Y32" s="25"/>
    </row>
    <row r="33" customFormat="false" ht="16.15" hidden="false" customHeight="true" outlineLevel="0" collapsed="false">
      <c r="N33" s="25"/>
      <c r="O33" s="48"/>
      <c r="P33" s="25"/>
      <c r="Q33" s="25"/>
      <c r="R33" s="25"/>
      <c r="S33" s="25"/>
      <c r="T33" s="25"/>
      <c r="U33" s="25"/>
      <c r="V33" s="25"/>
      <c r="W33" s="25"/>
      <c r="X33" s="25"/>
      <c r="Y33" s="25"/>
    </row>
    <row r="34" customFormat="false" ht="16.15" hidden="false" customHeight="true" outlineLevel="0" collapsed="false">
      <c r="N34" s="25"/>
      <c r="O34" s="48"/>
      <c r="P34" s="25"/>
      <c r="Q34" s="25"/>
      <c r="R34" s="25"/>
      <c r="S34" s="25"/>
      <c r="T34" s="25"/>
      <c r="U34" s="25"/>
      <c r="V34" s="25"/>
      <c r="W34" s="25"/>
      <c r="X34" s="25"/>
      <c r="Y34" s="25"/>
    </row>
    <row r="35" customFormat="false" ht="16.15" hidden="false" customHeight="true" outlineLevel="0" collapsed="false"/>
    <row r="36" customFormat="false" ht="16.15" hidden="false" customHeight="true" outlineLevel="0" collapsed="false"/>
    <row r="37" customFormat="false" ht="16.15" hidden="false" customHeight="true" outlineLevel="0" collapsed="false"/>
    <row r="38" customFormat="false" ht="16.15" hidden="false" customHeight="true" outlineLevel="0" collapsed="false"/>
    <row r="39" customFormat="false" ht="16.15" hidden="false" customHeight="true" outlineLevel="0" collapsed="false"/>
    <row r="40" customFormat="false" ht="16.15" hidden="false" customHeight="true" outlineLevel="0" collapsed="false"/>
    <row r="41" customFormat="false" ht="16.15" hidden="false" customHeight="true" outlineLevel="0" collapsed="false"/>
    <row r="42" customFormat="false" ht="16.15" hidden="false" customHeight="true" outlineLevel="0" collapsed="false"/>
    <row r="43" customFormat="false" ht="16.15" hidden="false" customHeight="true" outlineLevel="0" collapsed="false"/>
    <row r="44" customFormat="false" ht="16.15" hidden="false" customHeight="true" outlineLevel="0" collapsed="false"/>
    <row r="45" customFormat="false" ht="16.15" hidden="false" customHeight="true" outlineLevel="0" collapsed="false"/>
    <row r="46" customFormat="false" ht="16.15" hidden="false" customHeight="true" outlineLevel="0" collapsed="false"/>
    <row r="47" customFormat="false" ht="16.15" hidden="false" customHeight="true" outlineLevel="0" collapsed="false"/>
    <row r="48" customFormat="false" ht="16.15" hidden="false" customHeight="true" outlineLevel="0" collapsed="false"/>
    <row r="49" customFormat="false" ht="16.15" hidden="false" customHeight="true" outlineLevel="0" collapsed="false"/>
    <row r="50" customFormat="false" ht="16.15" hidden="false" customHeight="true" outlineLevel="0" collapsed="false"/>
    <row r="51" customFormat="false" ht="16.15" hidden="false" customHeight="true" outlineLevel="0" collapsed="false"/>
    <row r="52" customFormat="false" ht="16.15" hidden="false" customHeight="true" outlineLevel="0" collapsed="false"/>
    <row r="53" customFormat="false" ht="16.15" hidden="false" customHeight="true" outlineLevel="0" collapsed="false"/>
    <row r="54" customFormat="false" ht="16.15" hidden="false" customHeight="true" outlineLevel="0" collapsed="false"/>
    <row r="55" customFormat="false" ht="16.15" hidden="false" customHeight="true" outlineLevel="0" collapsed="false"/>
    <row r="56" customFormat="false" ht="16.15" hidden="false" customHeight="true" outlineLevel="0" collapsed="false"/>
    <row r="57" customFormat="false" ht="16.15" hidden="false" customHeight="true" outlineLevel="0" collapsed="false"/>
    <row r="58" customFormat="false" ht="16.15" hidden="false" customHeight="true" outlineLevel="0" collapsed="false"/>
    <row r="59" customFormat="false" ht="16.15" hidden="false" customHeight="true" outlineLevel="0" collapsed="false"/>
    <row r="60" customFormat="false" ht="16.15" hidden="false" customHeight="true" outlineLevel="0" collapsed="false"/>
    <row r="61" customFormat="false" ht="16.15" hidden="false" customHeight="true" outlineLevel="0" collapsed="false"/>
    <row r="62" customFormat="false" ht="16.15" hidden="false" customHeight="true" outlineLevel="0" collapsed="false"/>
    <row r="63" customFormat="false" ht="16.15" hidden="false" customHeight="true" outlineLevel="0" collapsed="false"/>
    <row r="64" customFormat="false" ht="16.15" hidden="false" customHeight="true" outlineLevel="0" collapsed="false"/>
    <row r="65" customFormat="false" ht="16.15" hidden="false" customHeight="true" outlineLevel="0" collapsed="false"/>
    <row r="66" customFormat="false" ht="16.15" hidden="false" customHeight="true" outlineLevel="0" collapsed="false"/>
    <row r="67" customFormat="false" ht="16.15" hidden="false" customHeight="true" outlineLevel="0" collapsed="false"/>
    <row r="68" customFormat="false" ht="16.15" hidden="false" customHeight="true" outlineLevel="0" collapsed="false"/>
    <row r="69" customFormat="false" ht="16.15" hidden="false" customHeight="true" outlineLevel="0" collapsed="false"/>
    <row r="70" customFormat="false" ht="16.15" hidden="false" customHeight="true" outlineLevel="0" collapsed="false"/>
    <row r="71" customFormat="false" ht="16.15" hidden="false" customHeight="true" outlineLevel="0" collapsed="false"/>
    <row r="72" customFormat="false" ht="16.15" hidden="false" customHeight="true" outlineLevel="0" collapsed="false"/>
    <row r="73" customFormat="false" ht="16.15" hidden="false" customHeight="true" outlineLevel="0" collapsed="false"/>
    <row r="74" customFormat="false" ht="16.15" hidden="false" customHeight="true" outlineLevel="0" collapsed="false"/>
    <row r="75" customFormat="false" ht="16.15" hidden="false" customHeight="true" outlineLevel="0" collapsed="false"/>
    <row r="76" customFormat="false" ht="16.15" hidden="false" customHeight="true" outlineLevel="0" collapsed="false"/>
    <row r="77" customFormat="false" ht="16.15" hidden="false" customHeight="true" outlineLevel="0" collapsed="false"/>
    <row r="78" customFormat="false" ht="16.15" hidden="false" customHeight="true" outlineLevel="0" collapsed="false"/>
    <row r="79" customFormat="false" ht="16.15" hidden="false" customHeight="true" outlineLevel="0" collapsed="false"/>
    <row r="80" customFormat="false" ht="16.15" hidden="false" customHeight="true" outlineLevel="0" collapsed="false"/>
    <row r="81" customFormat="false" ht="16.15" hidden="false" customHeight="true" outlineLevel="0" collapsed="false"/>
    <row r="82" customFormat="false" ht="16.15" hidden="false" customHeight="true" outlineLevel="0" collapsed="false"/>
    <row r="83" customFormat="false" ht="16.15" hidden="false" customHeight="true" outlineLevel="0" collapsed="false"/>
    <row r="84" customFormat="false" ht="16.15" hidden="false" customHeight="true" outlineLevel="0" collapsed="false"/>
    <row r="85" customFormat="false" ht="16.15" hidden="false" customHeight="true" outlineLevel="0" collapsed="false"/>
    <row r="86" customFormat="false" ht="16.15" hidden="false" customHeight="true" outlineLevel="0" collapsed="false"/>
    <row r="87" customFormat="false" ht="16.15" hidden="false" customHeight="true" outlineLevel="0" collapsed="false"/>
    <row r="88" customFormat="false" ht="16.15" hidden="false" customHeight="true" outlineLevel="0" collapsed="false"/>
    <row r="89" customFormat="false" ht="16.15" hidden="false" customHeight="true" outlineLevel="0" collapsed="false"/>
    <row r="90" customFormat="false" ht="16.15" hidden="false" customHeight="true" outlineLevel="0" collapsed="false"/>
    <row r="91" customFormat="false" ht="16.15" hidden="false" customHeight="true" outlineLevel="0" collapsed="false"/>
    <row r="92" customFormat="false" ht="16.15" hidden="false" customHeight="true" outlineLevel="0" collapsed="false"/>
    <row r="93" customFormat="false" ht="16.15" hidden="false" customHeight="true" outlineLevel="0" collapsed="false"/>
    <row r="94" customFormat="false" ht="16.15" hidden="false" customHeight="true" outlineLevel="0" collapsed="false"/>
    <row r="95" customFormat="false" ht="16.15" hidden="false" customHeight="true" outlineLevel="0" collapsed="false"/>
    <row r="96" customFormat="false" ht="16.15" hidden="false" customHeight="true" outlineLevel="0" collapsed="false"/>
    <row r="97" customFormat="false" ht="16.15" hidden="false" customHeight="true" outlineLevel="0" collapsed="false"/>
    <row r="98" customFormat="false" ht="16.15" hidden="false" customHeight="true" outlineLevel="0" collapsed="false"/>
    <row r="99" customFormat="false" ht="16.15" hidden="false" customHeight="true" outlineLevel="0" collapsed="false"/>
    <row r="100" customFormat="false" ht="16.15" hidden="false" customHeight="true" outlineLevel="0" collapsed="false"/>
    <row r="101" customFormat="false" ht="16.15" hidden="false" customHeight="true" outlineLevel="0" collapsed="false"/>
    <row r="102" customFormat="false" ht="16.15" hidden="false" customHeight="true" outlineLevel="0" collapsed="false"/>
    <row r="103" customFormat="false" ht="16.15" hidden="false" customHeight="true" outlineLevel="0" collapsed="false"/>
    <row r="104" customFormat="false" ht="16.15" hidden="false" customHeight="true" outlineLevel="0" collapsed="false"/>
    <row r="105" customFormat="false" ht="16.15" hidden="false" customHeight="true" outlineLevel="0" collapsed="false"/>
    <row r="106" customFormat="false" ht="16.15" hidden="false" customHeight="true" outlineLevel="0" collapsed="false"/>
    <row r="107" customFormat="false" ht="16.15" hidden="false" customHeight="true" outlineLevel="0" collapsed="false"/>
    <row r="108" customFormat="false" ht="16.15" hidden="false" customHeight="true" outlineLevel="0" collapsed="false"/>
    <row r="109" customFormat="false" ht="16.15" hidden="false" customHeight="true" outlineLevel="0" collapsed="false"/>
    <row r="110" customFormat="false" ht="16.15" hidden="false" customHeight="true" outlineLevel="0" collapsed="false"/>
    <row r="111" customFormat="false" ht="16.15" hidden="false" customHeight="true" outlineLevel="0" collapsed="false"/>
    <row r="112" customFormat="false" ht="16.15" hidden="false" customHeight="true" outlineLevel="0" collapsed="false"/>
    <row r="113" customFormat="false" ht="16.15" hidden="false" customHeight="true" outlineLevel="0" collapsed="false"/>
    <row r="114" customFormat="false" ht="16.15" hidden="false" customHeight="true" outlineLevel="0" collapsed="false"/>
    <row r="115" customFormat="false" ht="16.15" hidden="false" customHeight="true" outlineLevel="0" collapsed="false"/>
    <row r="116" customFormat="false" ht="16.15" hidden="false" customHeight="true" outlineLevel="0" collapsed="false"/>
    <row r="117" customFormat="false" ht="16.15" hidden="false" customHeight="true" outlineLevel="0" collapsed="false"/>
    <row r="118" customFormat="false" ht="16.15" hidden="false" customHeight="true" outlineLevel="0" collapsed="false"/>
    <row r="119" customFormat="false" ht="16.15" hidden="false" customHeight="true" outlineLevel="0" collapsed="false"/>
    <row r="120" customFormat="false" ht="16.15" hidden="false" customHeight="true" outlineLevel="0" collapsed="false"/>
    <row r="121" customFormat="false" ht="16.15" hidden="false" customHeight="true" outlineLevel="0" collapsed="false"/>
    <row r="122" customFormat="false" ht="16.15" hidden="false" customHeight="true" outlineLevel="0" collapsed="false"/>
    <row r="123" customFormat="false" ht="16.15" hidden="false" customHeight="true" outlineLevel="0" collapsed="false"/>
    <row r="124" customFormat="false" ht="16.15" hidden="false" customHeight="true" outlineLevel="0" collapsed="false"/>
    <row r="125" customFormat="false" ht="16.15" hidden="false" customHeight="true" outlineLevel="0" collapsed="false"/>
    <row r="126" customFormat="false" ht="16.15" hidden="false" customHeight="true" outlineLevel="0" collapsed="false"/>
    <row r="127" customFormat="false" ht="16.15" hidden="false" customHeight="true" outlineLevel="0" collapsed="false"/>
    <row r="128" customFormat="false" ht="16.15" hidden="false" customHeight="true" outlineLevel="0" collapsed="false"/>
  </sheetData>
  <sheetProtection sheet="true" objects="true" scenarios="true"/>
  <dataValidations count="3">
    <dataValidation allowBlank="false" errorStyle="stop" operator="equal" showDropDown="false" showErrorMessage="true" showInputMessage="false" sqref="N1:Y1 N3:Y3" type="whole">
      <formula1>0</formula1>
      <formula2>0</formula2>
    </dataValidation>
    <dataValidation allowBlank="true" errorStyle="stop" operator="between" showDropDown="false" showErrorMessage="true" showInputMessage="false" sqref="O2:Y2 O5:Y13 B6:L28 P19 O21:Y21" type="whole">
      <formula1>1</formula1>
      <formula2>99999</formula2>
    </dataValidation>
    <dataValidation allowBlank="false" errorStyle="stop" operator="equal" showDropDown="false" showErrorMessage="true" showInputMessage="false" sqref="A1:M5 Z1:Z28 N4:Y4 A6:A28 M6:M28 N14:Y14 N15:N20 O16:Y18 O19:O20 Q19:Y19 P20:Y20 N22:Y28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&amp;C&amp;"Arial,標準"&amp;A</oddHeader>
    <oddFooter>&amp;C&amp;"Arial,標準"ページ &amp;P</oddFooter>
  </headerFooter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3" name=" ">
              <controlPr defaultSize="0" locked="1" autoFill="0" autoLine="0" autoPict="0" print="true" altText="Check Box 1001">
                <anchor moveWithCells="true" sizeWithCells="false">
                  <from>
                    <xdr:col>14</xdr:col>
                    <xdr:colOff>66600</xdr:colOff>
                    <xdr:row>13</xdr:row>
                    <xdr:rowOff>31680</xdr:rowOff>
                  </from>
                  <to>
                    <xdr:col>15</xdr:col>
                    <xdr:colOff>57240</xdr:colOff>
                    <xdr:row>15</xdr:row>
                    <xdr:rowOff>44280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2" r:id="rId4" name=" ">
              <controlPr defaultSize="0" locked="1" autoFill="0" autoLine="0" autoPict="0" print="true" altText="チェックボックス 6">
                <anchor moveWithCells="true" sizeWithCells="false">
                  <from>
                    <xdr:col>15</xdr:col>
                    <xdr:colOff>69840</xdr:colOff>
                    <xdr:row>13</xdr:row>
                    <xdr:rowOff>34920</xdr:rowOff>
                  </from>
                  <to>
                    <xdr:col>16</xdr:col>
                    <xdr:colOff>57240</xdr:colOff>
                    <xdr:row>15</xdr:row>
                    <xdr:rowOff>41400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3" r:id="rId5" name=" ">
              <controlPr defaultSize="0" locked="1" autoFill="0" autoLine="0" autoPict="0" print="true" altText="Check Box 1003">
                <anchor moveWithCells="true" sizeWithCells="false">
                  <from>
                    <xdr:col>16</xdr:col>
                    <xdr:colOff>69840</xdr:colOff>
                    <xdr:row>13</xdr:row>
                    <xdr:rowOff>31680</xdr:rowOff>
                  </from>
                  <to>
                    <xdr:col>17</xdr:col>
                    <xdr:colOff>54000</xdr:colOff>
                    <xdr:row>15</xdr:row>
                    <xdr:rowOff>41040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4" r:id="rId6" name=" ">
              <controlPr defaultSize="0" locked="1" autoFill="0" autoLine="0" autoPict="0" print="true" altText="Check Box 1004">
                <anchor moveWithCells="true" sizeWithCells="false">
                  <from>
                    <xdr:col>17</xdr:col>
                    <xdr:colOff>69840</xdr:colOff>
                    <xdr:row>13</xdr:row>
                    <xdr:rowOff>34920</xdr:rowOff>
                  </from>
                  <to>
                    <xdr:col>18</xdr:col>
                    <xdr:colOff>54000</xdr:colOff>
                    <xdr:row>15</xdr:row>
                    <xdr:rowOff>41400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5" r:id="rId7" name=" ">
              <controlPr defaultSize="0" locked="1" autoFill="0" autoLine="0" autoPict="0" print="true" altText="Check Box 1005">
                <anchor moveWithCells="true" sizeWithCells="false">
                  <from>
                    <xdr:col>19</xdr:col>
                    <xdr:colOff>73080</xdr:colOff>
                    <xdr:row>13</xdr:row>
                    <xdr:rowOff>38160</xdr:rowOff>
                  </from>
                  <to>
                    <xdr:col>20</xdr:col>
                    <xdr:colOff>60480</xdr:colOff>
                    <xdr:row>15</xdr:row>
                    <xdr:rowOff>47520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6" r:id="rId8" name=" ">
              <controlPr defaultSize="0" locked="1" autoFill="0" autoLine="0" autoPict="0" print="true" altText="Check Box 1006">
                <anchor moveWithCells="true" sizeWithCells="false">
                  <from>
                    <xdr:col>20</xdr:col>
                    <xdr:colOff>60480</xdr:colOff>
                    <xdr:row>13</xdr:row>
                    <xdr:rowOff>38160</xdr:rowOff>
                  </from>
                  <to>
                    <xdr:col>21</xdr:col>
                    <xdr:colOff>47880</xdr:colOff>
                    <xdr:row>15</xdr:row>
                    <xdr:rowOff>47520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7" r:id="rId9" name=" ">
              <controlPr defaultSize="0" locked="1" autoFill="0" autoLine="0" autoPict="0" print="true" altText="Check Box 1007">
                <anchor moveWithCells="true" sizeWithCells="false">
                  <from>
                    <xdr:col>21</xdr:col>
                    <xdr:colOff>50760</xdr:colOff>
                    <xdr:row>13</xdr:row>
                    <xdr:rowOff>34920</xdr:rowOff>
                  </from>
                  <to>
                    <xdr:col>22</xdr:col>
                    <xdr:colOff>38160</xdr:colOff>
                    <xdr:row>15</xdr:row>
                    <xdr:rowOff>41400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8" r:id="rId10" name=" ">
              <controlPr defaultSize="0" locked="1" autoFill="0" autoLine="0" autoPict="0" print="true" altText="Check Box 1008">
                <anchor moveWithCells="true" sizeWithCells="false">
                  <from>
                    <xdr:col>22</xdr:col>
                    <xdr:colOff>66600</xdr:colOff>
                    <xdr:row>13</xdr:row>
                    <xdr:rowOff>38160</xdr:rowOff>
                  </from>
                  <to>
                    <xdr:col>23</xdr:col>
                    <xdr:colOff>54000</xdr:colOff>
                    <xdr:row>15</xdr:row>
                    <xdr:rowOff>44640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9" r:id="rId11" name=" ">
              <controlPr defaultSize="0" locked="1" autoFill="0" autoLine="0" autoPict="0" print="true" altText="Check Box 1009">
                <anchor moveWithCells="true" sizeWithCells="false">
                  <from>
                    <xdr:col>23</xdr:col>
                    <xdr:colOff>66600</xdr:colOff>
                    <xdr:row>13</xdr:row>
                    <xdr:rowOff>34920</xdr:rowOff>
                  </from>
                  <to>
                    <xdr:col>24</xdr:col>
                    <xdr:colOff>54000</xdr:colOff>
                    <xdr:row>15</xdr:row>
                    <xdr:rowOff>41400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0" r:id="rId12" name=" ">
              <controlPr defaultSize="0" locked="1" autoFill="0" autoLine="0" autoPict="0" print="true" altText="Check Box 1010">
                <anchor moveWithCells="true" sizeWithCells="false">
                  <from>
                    <xdr:col>24</xdr:col>
                    <xdr:colOff>66600</xdr:colOff>
                    <xdr:row>13</xdr:row>
                    <xdr:rowOff>38160</xdr:rowOff>
                  </from>
                  <to>
                    <xdr:col>25</xdr:col>
                    <xdr:colOff>3240</xdr:colOff>
                    <xdr:row>15</xdr:row>
                    <xdr:rowOff>47520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1" r:id="rId13" name=" ">
              <controlPr defaultSize="0" locked="1" autoFill="0" autoLine="0" autoPict="0" print="true" altText="Check Box 1011">
                <anchor moveWithCells="true" sizeWithCells="false">
                  <from>
                    <xdr:col>18</xdr:col>
                    <xdr:colOff>73080</xdr:colOff>
                    <xdr:row>13</xdr:row>
                    <xdr:rowOff>38160</xdr:rowOff>
                  </from>
                  <to>
                    <xdr:col>19</xdr:col>
                    <xdr:colOff>60480</xdr:colOff>
                    <xdr:row>15</xdr:row>
                    <xdr:rowOff>47520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73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2026-01-28T00:53:52Z</dcterms:created>
  <dc:creator/>
  <dc:description/>
  <dc:language>ja-JP</dc:language>
  <cp:lastModifiedBy/>
  <dcterms:modified xsi:type="dcterms:W3CDTF">2026-04-27T19:07:35Z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