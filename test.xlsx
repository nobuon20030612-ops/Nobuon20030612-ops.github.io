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ctrlProps/ctrlProps2.xml" ContentType="application/vnd.ms-excel.controlproperties+xml"/>
  <Override PartName="/xl/ctrlProps/ctrlProps3.xml" ContentType="application/vnd.ms-excel.controlproperties+xml"/>
  <Override PartName="/xl/ctrlProps/ctrlProps4.xml" ContentType="application/vnd.ms-excel.controlproperties+xml"/>
  <Override PartName="/xl/ctrlProps/ctrlProps5.xml" ContentType="application/vnd.ms-excel.controlproperties+xml"/>
  <Override PartName="/xl/ctrlProps/ctrlProps6.xml" ContentType="application/vnd.ms-excel.controlproperties+xml"/>
  <Override PartName="/xl/ctrlProps/ctrlProps7.xml" ContentType="application/vnd.ms-excel.controlproperties+xml"/>
  <Override PartName="/xl/ctrlProps/ctrlProps11.xml" ContentType="application/vnd.ms-excel.controlproperties+xml"/>
  <Override PartName="/xl/ctrlProps/ctrlProps8.xml" ContentType="application/vnd.ms-excel.controlproperties+xml"/>
  <Override PartName="/xl/ctrlProps/ctrlProps10.xml" ContentType="application/vnd.ms-excel.controlproperties+xml"/>
  <Override PartName="/xl/ctrlProps/ctrlProps9.xml" ContentType="application/vnd.ms-excel.controlproperties+xml"/>
  <Override PartName="/xl/ctrlProps/ctrlProps12.xml" ContentType="application/vnd.ms-excel.contro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能力計算機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<sst xmlns="http://schemas.openxmlformats.org/spreadsheetml/2006/main" count="83" uniqueCount="58">
  <si>
    <t xml:space="preserve">プレイヤー</t>
  </si>
  <si>
    <t xml:space="preserve">生命</t>
  </si>
  <si>
    <t xml:space="preserve">気合</t>
  </si>
  <si>
    <t xml:space="preserve">腕力</t>
  </si>
  <si>
    <t xml:space="preserve">耐久</t>
  </si>
  <si>
    <t xml:space="preserve">器用</t>
  </si>
  <si>
    <t xml:space="preserve">知力</t>
  </si>
  <si>
    <t xml:space="preserve">魅力</t>
  </si>
  <si>
    <t xml:space="preserve">土</t>
  </si>
  <si>
    <t xml:space="preserve">水</t>
  </si>
  <si>
    <t xml:space="preserve">火</t>
  </si>
  <si>
    <t xml:space="preserve">風</t>
  </si>
  <si>
    <t xml:space="preserve">合計能力値</t>
  </si>
  <si>
    <t xml:space="preserve">初期能力:LV85</t>
  </si>
  <si>
    <t xml:space="preserve">カンスト余剰値</t>
  </si>
  <si>
    <t xml:space="preserve">※平均参考値</t>
  </si>
  <si>
    <t xml:space="preserve">潜在能力</t>
  </si>
  <si>
    <t xml:space="preserve">頭：付与</t>
  </si>
  <si>
    <t xml:space="preserve">技能覚醒</t>
  </si>
  <si>
    <t xml:space="preserve">頭：装飾石</t>
  </si>
  <si>
    <t xml:space="preserve">基礎能力:四聖獣</t>
  </si>
  <si>
    <t xml:space="preserve">胴：付与</t>
  </si>
  <si>
    <t xml:space="preserve">軍神</t>
  </si>
  <si>
    <t xml:space="preserve">胴：装飾石</t>
  </si>
  <si>
    <t xml:space="preserve">お供絆</t>
  </si>
  <si>
    <t xml:space="preserve">右手：付与</t>
  </si>
  <si>
    <t xml:space="preserve">称号：合計</t>
  </si>
  <si>
    <t xml:space="preserve">右手：装飾石</t>
  </si>
  <si>
    <t xml:space="preserve">宝玉：合計</t>
  </si>
  <si>
    <t xml:space="preserve">右手：九十九</t>
  </si>
  <si>
    <t xml:space="preserve">英傑陣法</t>
  </si>
  <si>
    <t xml:space="preserve">左手：付与</t>
  </si>
  <si>
    <t xml:space="preserve">英傑能力</t>
  </si>
  <si>
    <t xml:space="preserve">左手：装飾石</t>
  </si>
  <si>
    <t xml:space="preserve">絆：上昇値</t>
  </si>
  <si>
    <t xml:space="preserve">左手：九十九</t>
  </si>
  <si>
    <t xml:space="preserve">転生：廉貞</t>
  </si>
  <si>
    <t xml:space="preserve">首：付与</t>
  </si>
  <si>
    <t xml:space="preserve">絆：合計上昇値</t>
  </si>
  <si>
    <t xml:space="preserve">首：魔導結晶</t>
  </si>
  <si>
    <t xml:space="preserve">家臣能力</t>
  </si>
  <si>
    <t xml:space="preserve">腰：付与</t>
  </si>
  <si>
    <t xml:space="preserve">腕：付与</t>
  </si>
  <si>
    <t xml:space="preserve">主従の力</t>
  </si>
  <si>
    <t xml:space="preserve">個数→</t>
  </si>
  <si>
    <t xml:space="preserve">足：付与</t>
  </si>
  <si>
    <t xml:space="preserve">護符：付与</t>
  </si>
  <si>
    <t xml:space="preserve">付与限界地</t>
  </si>
  <si>
    <t xml:space="preserve">指：付与</t>
  </si>
  <si>
    <t xml:space="preserve">付与以外:上昇値</t>
  </si>
  <si>
    <t xml:space="preserve">紋：付与</t>
  </si>
  <si>
    <t xml:space="preserve">付与合計:上昇値</t>
  </si>
  <si>
    <t xml:space="preserve">お守り:付与</t>
  </si>
  <si>
    <t xml:space="preserve">赤帯補正後上昇値</t>
  </si>
  <si>
    <t xml:space="preserve">特殊：付与</t>
  </si>
  <si>
    <t xml:space="preserve">腰袋：付与</t>
  </si>
  <si>
    <t xml:space="preserve">袋：付与</t>
  </si>
  <si>
    <t xml:space="preserve">袋：装飾石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</si>
</sst>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￥-411]#,##0;[RED]\-[$￥-411]#,##0"/>
    <numFmt numFmtId="166" formatCode="0"/>
    <numFmt numFmtId="167" formatCode="&quot;TRUE&quot;;&quot;TRUE&quot;;&quot;FALSE&quot;"/>
  </numFmts>
  <fonts count="15">
    <font>
      <sz val="10"/>
      <name val="ＭＳ Ｐ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0"/>
      <name val="ＭＳ Ｐゴシック"/>
      <family val="2"/>
      <charset val="128"/>
    </font>
    <font>
      <sz val="10.5"/>
      <name val="Noto Serif JP Black"/>
      <family val="1"/>
      <charset val="1"/>
    </font>
    <font>
      <sz val="10"/>
      <name val="Noto Serif JP Black"/>
      <family val="1"/>
      <charset val="1"/>
    </font>
    <font>
      <sz val="10"/>
      <color rgb="FF000000"/>
      <name val="Noto Serif JP Black"/>
      <family val="1"/>
      <charset val="1"/>
    </font>
    <font>
      <sz val="10.5"/>
      <color rgb="FFFFFFFF"/>
      <name val="Noto Serif JP Black"/>
      <family val="1"/>
      <charset val="1"/>
    </font>
    <font>
      <sz val="10"/>
      <color rgb="FFFFFFFF"/>
      <name val="Noto Serif JP Black"/>
      <family val="1"/>
      <charset val="1"/>
    </font>
    <font>
      <sz val="10.5"/>
      <color rgb="FFFF0000"/>
      <name val="Noto Serif JP Black"/>
      <family val="1"/>
      <charset val="1"/>
    </font>
    <font>
      <sz val="10"/>
      <color rgb="FFFF0000"/>
      <name val="Noto Serif JP Black"/>
      <family val="1"/>
      <charset val="1"/>
    </font>
    <font>
      <sz val="10"/>
      <color rgb="FFFFFFFF"/>
      <name val="ＭＳ Ｐゴシック"/>
      <family val="2"/>
      <charset val="128"/>
    </font>
    <font>
      <sz val="9"/>
      <color rgb="FFFF0000"/>
      <name val="Noto Serif JP Black"/>
      <family val="1"/>
      <charset val="1"/>
    </font>
    <font>
      <sz val="10"/>
      <color rgb="FF000000"/>
      <name val="ＭＳ Ｐゴシック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EC9BA4"/>
        <bgColor rgb="FFFF8080"/>
      </patternFill>
    </fill>
    <fill>
      <patternFill patternType="solid">
        <fgColor rgb="FFFFD8CE"/>
        <bgColor rgb="FFE0C2CD"/>
      </patternFill>
    </fill>
    <fill>
      <patternFill patternType="solid">
        <fgColor rgb="FFE0C2CD"/>
        <bgColor rgb="FFCCCCFF"/>
      </patternFill>
    </fill>
    <fill>
      <patternFill patternType="solid">
        <fgColor rgb="FF81D41A"/>
        <bgColor rgb="FF9999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6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7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結果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C9BA4"/>
      <rgbColor rgb="FFCC99FF"/>
      <rgbColor rgb="FFFFD8CE"/>
      <rgbColor rgb="FF3366FF"/>
      <rgbColor rgb="FF33CCCC"/>
      <rgbColor rgb="FF81D41A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fmlaLink="能力計算機!$O$15" lockText="1" noThreeD="1"/>
</file>

<file path=xl/ctrlProps/ctrlProps3.xml><?xml version="1.0" encoding="utf-8"?>
<formControlPr xmlns="http://schemas.microsoft.com/office/spreadsheetml/2009/9/main" objectType="CheckBox" autoLine="false" print="true" fmlaLink="能力計算機!$P$15" lockText="1" noThreeD="1"/>
</file>

<file path=xl/ctrlProps/ctrlProps4.xml><?xml version="1.0" encoding="utf-8"?>
<formControlPr xmlns="http://schemas.microsoft.com/office/spreadsheetml/2009/9/main" objectType="CheckBox" autoLine="false" print="true" fmlaLink="能力計算機!$Q$15" lockText="1" noThreeD="1"/>
</file>

<file path=xl/ctrlProps/ctrlProps5.xml><?xml version="1.0" encoding="utf-8"?>
<formControlPr xmlns="http://schemas.microsoft.com/office/spreadsheetml/2009/9/main" objectType="CheckBox" autoLine="false" print="true" fmlaLink="能力計算機!$R$15" lockText="1" noThreeD="1"/>
</file>

<file path=xl/ctrlProps/ctrlProps6.xml><?xml version="1.0" encoding="utf-8"?>
<formControlPr xmlns="http://schemas.microsoft.com/office/spreadsheetml/2009/9/main" objectType="CheckBox" autoLine="false" print="true" fmlaLink="能力計算機!$T$15" lockText="1" noThreeD="1"/>
</file>

<file path=xl/ctrlProps/ctrlProps7.xml><?xml version="1.0" encoding="utf-8"?>
<formControlPr xmlns="http://schemas.microsoft.com/office/spreadsheetml/2009/9/main" objectType="CheckBox" autoLine="false" print="true" fmlaLink="能力計算機!$U$15" lockText="1" noThreeD="1"/>
</file>

<file path=xl/ctrlProps/ctrlProps8.xml><?xml version="1.0" encoding="utf-8"?>
<formControlPr xmlns="http://schemas.microsoft.com/office/spreadsheetml/2009/9/main" objectType="CheckBox" autoLine="false" print="true" fmlaLink="能力計算機!$V$15" lockText="1" noThreeD="1"/>
</file>

<file path=xl/ctrlProps/ctrlProps9.xml><?xml version="1.0" encoding="utf-8"?>
<formControlPr xmlns="http://schemas.microsoft.com/office/spreadsheetml/2009/9/main" objectType="CheckBox" autoLine="false" print="true" fmlaLink="能力計算機!$W$15" lockText="1" noThreeD="1"/>
</file>

<file path=xl/ctrlProps/ctrlProps10.xml><?xml version="1.0" encoding="utf-8"?>
<formControlPr xmlns="http://schemas.microsoft.com/office/spreadsheetml/2009/9/main" objectType="CheckBox" autoLine="false" print="true" fmlaLink="能力計算機!$X$15" lockText="1" noThreeD="1"/>
</file>

<file path=xl/ctrlProps/ctrlProps11.xml><?xml version="1.0" encoding="utf-8"?>
<formControlPr xmlns="http://schemas.microsoft.com/office/spreadsheetml/2009/9/main" objectType="CheckBox" autoLine="false" print="true" fmlaLink="能力計算機!$Y$15" lockText="1" noThreeD="1"/>
</file>

<file path=xl/ctrlProps/ctrlProps12.xml><?xml version="1.0" encoding="utf-8"?>
<formControlPr xmlns="http://schemas.microsoft.com/office/spreadsheetml/2009/9/main" objectType="CheckBox" autoLine="false" print="true" fmlaLink="能力計算機!$S$15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202320</xdr:colOff>
          <xdr:row>13</xdr:row>
          <xdr:rowOff>117360</xdr:rowOff>
        </xdr:from>
        <xdr:to>
          <xdr:col>15</xdr:col>
          <xdr:colOff>199080</xdr:colOff>
          <xdr:row>15</xdr:row>
          <xdr:rowOff>123840</xdr:rowOff>
        </xdr:to>
        <xdr:sp>
          <xdr:nvSpPr>
            <xdr:cNvPr id="1001" name="Check Box 1001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166320</xdr:colOff>
          <xdr:row>13</xdr:row>
          <xdr:rowOff>120600</xdr:rowOff>
        </xdr:from>
        <xdr:to>
          <xdr:col>16</xdr:col>
          <xdr:colOff>163080</xdr:colOff>
          <xdr:row>15</xdr:row>
          <xdr:rowOff>120600</xdr:rowOff>
        </xdr:to>
        <xdr:sp>
          <xdr:nvSpPr>
            <xdr:cNvPr id="1002" name="チェックボックス 6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166320</xdr:colOff>
          <xdr:row>13</xdr:row>
          <xdr:rowOff>117360</xdr:rowOff>
        </xdr:from>
        <xdr:to>
          <xdr:col>17</xdr:col>
          <xdr:colOff>163080</xdr:colOff>
          <xdr:row>15</xdr:row>
          <xdr:rowOff>120600</xdr:rowOff>
        </xdr:to>
        <xdr:sp>
          <xdr:nvSpPr>
            <xdr:cNvPr id="1003" name="Check Box 1003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166320</xdr:colOff>
          <xdr:row>13</xdr:row>
          <xdr:rowOff>120600</xdr:rowOff>
        </xdr:from>
        <xdr:to>
          <xdr:col>18</xdr:col>
          <xdr:colOff>163080</xdr:colOff>
          <xdr:row>15</xdr:row>
          <xdr:rowOff>120600</xdr:rowOff>
        </xdr:to>
        <xdr:sp>
          <xdr:nvSpPr>
            <xdr:cNvPr id="1004" name="Check Box 1004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169560</xdr:colOff>
          <xdr:row>13</xdr:row>
          <xdr:rowOff>120600</xdr:rowOff>
        </xdr:from>
        <xdr:to>
          <xdr:col>20</xdr:col>
          <xdr:colOff>163080</xdr:colOff>
          <xdr:row>15</xdr:row>
          <xdr:rowOff>123840</xdr:rowOff>
        </xdr:to>
        <xdr:sp>
          <xdr:nvSpPr>
            <xdr:cNvPr id="1005" name="Check Box 1005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199080</xdr:colOff>
          <xdr:row>13</xdr:row>
          <xdr:rowOff>120600</xdr:rowOff>
        </xdr:from>
        <xdr:to>
          <xdr:col>21</xdr:col>
          <xdr:colOff>195840</xdr:colOff>
          <xdr:row>15</xdr:row>
          <xdr:rowOff>123840</xdr:rowOff>
        </xdr:to>
        <xdr:sp>
          <xdr:nvSpPr>
            <xdr:cNvPr id="1006" name="Check Box 1006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195840</xdr:colOff>
          <xdr:row>13</xdr:row>
          <xdr:rowOff>120600</xdr:rowOff>
        </xdr:from>
        <xdr:to>
          <xdr:col>22</xdr:col>
          <xdr:colOff>192600</xdr:colOff>
          <xdr:row>15</xdr:row>
          <xdr:rowOff>120600</xdr:rowOff>
        </xdr:to>
        <xdr:sp>
          <xdr:nvSpPr>
            <xdr:cNvPr id="1007" name="Check Box 1007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166320</xdr:colOff>
          <xdr:row>13</xdr:row>
          <xdr:rowOff>120600</xdr:rowOff>
        </xdr:from>
        <xdr:to>
          <xdr:col>23</xdr:col>
          <xdr:colOff>163080</xdr:colOff>
          <xdr:row>15</xdr:row>
          <xdr:rowOff>123840</xdr:rowOff>
        </xdr:to>
        <xdr:sp>
          <xdr:nvSpPr>
            <xdr:cNvPr id="1008" name="Check Box 1008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166320</xdr:colOff>
          <xdr:row>13</xdr:row>
          <xdr:rowOff>120600</xdr:rowOff>
        </xdr:from>
        <xdr:to>
          <xdr:col>24</xdr:col>
          <xdr:colOff>163080</xdr:colOff>
          <xdr:row>15</xdr:row>
          <xdr:rowOff>120600</xdr:rowOff>
        </xdr:to>
        <xdr:sp>
          <xdr:nvSpPr>
            <xdr:cNvPr id="1009" name="Check Box 1009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202320</xdr:colOff>
          <xdr:row>13</xdr:row>
          <xdr:rowOff>120600</xdr:rowOff>
        </xdr:from>
        <xdr:to>
          <xdr:col>25</xdr:col>
          <xdr:colOff>180000</xdr:colOff>
          <xdr:row>15</xdr:row>
          <xdr:rowOff>123840</xdr:rowOff>
        </xdr:to>
        <xdr:sp>
          <xdr:nvSpPr>
            <xdr:cNvPr id="1010" name="Check Box 1010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169560</xdr:colOff>
          <xdr:row>13</xdr:row>
          <xdr:rowOff>120600</xdr:rowOff>
        </xdr:from>
        <xdr:to>
          <xdr:col>19</xdr:col>
          <xdr:colOff>163080</xdr:colOff>
          <xdr:row>15</xdr:row>
          <xdr:rowOff>123840</xdr:rowOff>
        </xdr:to>
        <xdr:sp>
          <xdr:nvSpPr>
            <xdr:cNvPr id="1011" name="Check Box 1011" descr=" 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 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<Relationship Id="rId9" Type="http://schemas.openxmlformats.org/officeDocument/2006/relationships/ctrlProp" Target="../ctrlProps/ctrlProps8.xml"/><Relationship Id="rId10" Type="http://schemas.openxmlformats.org/officeDocument/2006/relationships/ctrlProp" Target="../ctrlProps/ctrlProps9.xml"/><Relationship Id="rId11" Type="http://schemas.openxmlformats.org/officeDocument/2006/relationships/ctrlProp" Target="../ctrlProps/ctrlProps10.xml"/><Relationship Id="rId12" Type="http://schemas.openxmlformats.org/officeDocument/2006/relationships/ctrlProp" Target="../ctrlProps/ctrlProps11.xml"/><Relationship Id="rId13" Type="http://schemas.openxmlformats.org/officeDocument/2006/relationships/ctrlProp" Target="../ctrlProps/ctrlProps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P11" activeCellId="0" sqref="P11"/>
    </sheetView>
  </sheetViews>
  <sheetFormatPr defaultColWidth="12.8046875" defaultRowHeight="13.2" customHeight="false" zeroHeight="false" outlineLevelRow="0" outlineLevelCol="0"/>
  <cols>
    <col collapsed="false" customWidth="true" hidden="false" outlineLevel="0" max="1" min="1" style="1" width="15.39"/>
    <col collapsed="false" customWidth="true" hidden="false" outlineLevel="0" max="3" min="2" style="2" width="7.94"/>
    <col collapsed="false" customWidth="true" hidden="false" outlineLevel="0" max="4" min="4" style="2" width="7.13"/>
    <col collapsed="false" customWidth="true" hidden="false" outlineLevel="0" max="7" min="5" style="3" width="6.35"/>
    <col collapsed="false" customWidth="true" hidden="false" outlineLevel="0" max="11" min="8" style="4" width="6.35"/>
    <col collapsed="false" customWidth="true" hidden="false" outlineLevel="0" max="12" min="12" style="5" width="6.35"/>
    <col collapsed="false" customWidth="true" hidden="false" outlineLevel="0" max="13" min="13" style="6" width="5.41"/>
    <col collapsed="false" customWidth="true" hidden="false" outlineLevel="0" max="14" min="14" style="2" width="15.61"/>
    <col collapsed="false" customWidth="true" hidden="false" outlineLevel="0" max="15" min="15" style="7" width="7.94"/>
    <col collapsed="false" customWidth="true" hidden="false" outlineLevel="0" max="25" min="16" style="8" width="7.94"/>
    <col collapsed="false" customWidth="true" hidden="false" outlineLevel="0" max="26" min="26" style="9" width="5.57"/>
  </cols>
  <sheetData>
    <row r="1" customFormat="false" ht="14.45" hidden="false" customHeight="true" outlineLevel="0" collapsed="false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/>
      <c r="N1" s="13"/>
      <c r="O1" s="11" t="s">
        <v>1</v>
      </c>
      <c r="P1" s="13" t="s">
        <v>2</v>
      </c>
      <c r="Q1" s="13" t="s">
        <v>3</v>
      </c>
      <c r="R1" s="13" t="s">
        <v>4</v>
      </c>
      <c r="S1" s="13" t="s">
        <v>5</v>
      </c>
      <c r="T1" s="13" t="s">
        <v>6</v>
      </c>
      <c r="U1" s="13" t="s">
        <v>7</v>
      </c>
      <c r="V1" s="13" t="s">
        <v>8</v>
      </c>
      <c r="W1" s="13" t="s">
        <v>9</v>
      </c>
      <c r="X1" s="13" t="s">
        <v>10</v>
      </c>
      <c r="Y1" s="13" t="s">
        <v>11</v>
      </c>
      <c r="Z1" s="14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customFormat="false" ht="23.6" hidden="false" customHeight="true" outlineLevel="0" collapsed="false">
      <c r="A2" s="16" t="s">
        <v>12</v>
      </c>
      <c r="B2" s="17" t="n">
        <f aca="false">SUM(O22,O24)-B3</f>
        <v>5400</v>
      </c>
      <c r="C2" s="17" t="n">
        <f aca="false">SUM(P22,P24)-C3</f>
        <v>5400</v>
      </c>
      <c r="D2" s="17" t="n">
        <f aca="false">SUM(Q22,Q24)-D3</f>
        <v>480</v>
      </c>
      <c r="E2" s="17" t="n">
        <f aca="false">SUM(R22,R24)-E3</f>
        <v>480</v>
      </c>
      <c r="F2" s="17" t="n">
        <f aca="false">SUM(S22,S24)-F3</f>
        <v>480</v>
      </c>
      <c r="G2" s="17" t="n">
        <f aca="false">SUM(T22,T24)-G3</f>
        <v>480</v>
      </c>
      <c r="H2" s="17" t="n">
        <f aca="false">SUM(U22,U24)-H3</f>
        <v>480</v>
      </c>
      <c r="I2" s="17" t="n">
        <f aca="false">SUM(V22,V24)-I3</f>
        <v>480</v>
      </c>
      <c r="J2" s="17" t="n">
        <f aca="false">SUM(W22,W24)-J3</f>
        <v>480</v>
      </c>
      <c r="K2" s="17" t="n">
        <f aca="false">SUM(X22,X24)-K3</f>
        <v>480</v>
      </c>
      <c r="L2" s="17" t="n">
        <f aca="false">SUM(Y22,Y24)-L3</f>
        <v>480</v>
      </c>
      <c r="M2" s="12"/>
      <c r="N2" s="18" t="s">
        <v>13</v>
      </c>
      <c r="O2" s="19" t="n">
        <v>2900</v>
      </c>
      <c r="P2" s="20" t="n">
        <v>2900</v>
      </c>
      <c r="Q2" s="20" t="n">
        <v>250</v>
      </c>
      <c r="R2" s="20" t="n">
        <v>250</v>
      </c>
      <c r="S2" s="20" t="n">
        <v>250</v>
      </c>
      <c r="T2" s="20" t="n">
        <v>250</v>
      </c>
      <c r="U2" s="20" t="n">
        <v>250</v>
      </c>
      <c r="V2" s="20" t="n">
        <v>250</v>
      </c>
      <c r="W2" s="20" t="n">
        <v>250</v>
      </c>
      <c r="X2" s="20" t="n">
        <v>250</v>
      </c>
      <c r="Y2" s="20" t="n">
        <v>250</v>
      </c>
      <c r="Z2" s="14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customFormat="false" ht="14.45" hidden="false" customHeight="true" outlineLevel="0" collapsed="false">
      <c r="A3" s="21" t="s">
        <v>14</v>
      </c>
      <c r="B3" s="22" t="n">
        <f aca="false">MAX(0,B4-99999)</f>
        <v>0</v>
      </c>
      <c r="C3" s="22" t="n">
        <f aca="false">MAX(0,C4-99999)</f>
        <v>0</v>
      </c>
      <c r="D3" s="22" t="n">
        <f aca="false">MAX(0,D4-9999)</f>
        <v>0</v>
      </c>
      <c r="E3" s="22" t="n">
        <f aca="false">MAX(0,E4-9999)</f>
        <v>0</v>
      </c>
      <c r="F3" s="22" t="n">
        <f aca="false">MAX(0,F4-9999)</f>
        <v>0</v>
      </c>
      <c r="G3" s="22" t="n">
        <f aca="false">MAX(0,G4-9999)</f>
        <v>0</v>
      </c>
      <c r="H3" s="22" t="n">
        <f aca="false">MAX(0,H4-9999)</f>
        <v>0</v>
      </c>
      <c r="I3" s="22" t="n">
        <f aca="false">MAX(0,I4-9999)</f>
        <v>0</v>
      </c>
      <c r="J3" s="22" t="n">
        <f aca="false">MAX(0,J4-9999)</f>
        <v>0</v>
      </c>
      <c r="K3" s="22" t="n">
        <f aca="false">MAX(0,K4-9999)</f>
        <v>0</v>
      </c>
      <c r="L3" s="22" t="n">
        <f aca="false">MAX(0,L4-9999)</f>
        <v>0</v>
      </c>
      <c r="M3" s="12"/>
      <c r="N3" s="23" t="s">
        <v>15</v>
      </c>
      <c r="O3" s="11" t="n">
        <v>2900</v>
      </c>
      <c r="P3" s="13" t="n">
        <v>2900</v>
      </c>
      <c r="Q3" s="13" t="n">
        <v>250</v>
      </c>
      <c r="R3" s="13" t="n">
        <v>250</v>
      </c>
      <c r="S3" s="13" t="n">
        <v>250</v>
      </c>
      <c r="T3" s="13" t="n">
        <v>250</v>
      </c>
      <c r="U3" s="13" t="n">
        <v>250</v>
      </c>
      <c r="V3" s="13" t="n">
        <v>250</v>
      </c>
      <c r="W3" s="13" t="n">
        <v>250</v>
      </c>
      <c r="X3" s="13" t="n">
        <v>250</v>
      </c>
      <c r="Y3" s="13" t="n">
        <v>250</v>
      </c>
      <c r="Z3" s="14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</row>
    <row r="4" s="29" customFormat="true" ht="14.45" hidden="false" customHeight="true" outlineLevel="0" collapsed="false">
      <c r="A4" s="24" t="s">
        <v>12</v>
      </c>
      <c r="B4" s="24" t="n">
        <f aca="false">SUM(O22,O24)</f>
        <v>5400</v>
      </c>
      <c r="C4" s="24" t="n">
        <f aca="false">SUM(P22,P24)</f>
        <v>5400</v>
      </c>
      <c r="D4" s="24" t="n">
        <f aca="false">SUM(Q22,Q24)</f>
        <v>480</v>
      </c>
      <c r="E4" s="24" t="n">
        <f aca="false">SUM(R22,R24)</f>
        <v>480</v>
      </c>
      <c r="F4" s="24" t="n">
        <f aca="false">SUM(S22,S24)</f>
        <v>480</v>
      </c>
      <c r="G4" s="24" t="n">
        <f aca="false">SUM(T22,T24)</f>
        <v>480</v>
      </c>
      <c r="H4" s="24" t="n">
        <f aca="false">SUM(U22,U24)</f>
        <v>480</v>
      </c>
      <c r="I4" s="24" t="n">
        <f aca="false">SUM(V22,V24)</f>
        <v>480</v>
      </c>
      <c r="J4" s="24" t="n">
        <f aca="false">SUM(W22,W24)</f>
        <v>480</v>
      </c>
      <c r="K4" s="24" t="n">
        <f aca="false">SUM(X22,X24)</f>
        <v>480</v>
      </c>
      <c r="L4" s="24" t="n">
        <f aca="false">SUM(Y22,Y24)</f>
        <v>480</v>
      </c>
      <c r="M4" s="25"/>
      <c r="N4" s="26"/>
      <c r="O4" s="27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8"/>
      <c r="AJ4" s="28"/>
      <c r="AK4" s="28"/>
      <c r="AL4" s="28"/>
      <c r="AM4" s="28"/>
      <c r="AN4" s="28"/>
      <c r="AO4" s="28"/>
      <c r="AP4" s="28"/>
      <c r="XFA4" s="30"/>
      <c r="XFB4" s="30"/>
      <c r="XFC4" s="30"/>
      <c r="XFD4" s="30"/>
    </row>
    <row r="5" customFormat="false" ht="14.45" hidden="false" customHeight="true" outlineLevel="0" collapsed="false">
      <c r="A5" s="10"/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1" t="s">
        <v>8</v>
      </c>
      <c r="J5" s="11" t="s">
        <v>9</v>
      </c>
      <c r="K5" s="11" t="s">
        <v>10</v>
      </c>
      <c r="L5" s="11" t="s">
        <v>11</v>
      </c>
      <c r="M5" s="12"/>
      <c r="N5" s="31" t="s">
        <v>16</v>
      </c>
      <c r="O5" s="32" t="n">
        <v>900</v>
      </c>
      <c r="P5" s="33" t="n">
        <v>900</v>
      </c>
      <c r="Q5" s="33" t="n">
        <v>70</v>
      </c>
      <c r="R5" s="33" t="n">
        <v>70</v>
      </c>
      <c r="S5" s="33" t="n">
        <v>70</v>
      </c>
      <c r="T5" s="33" t="n">
        <v>70</v>
      </c>
      <c r="U5" s="33" t="n">
        <v>70</v>
      </c>
      <c r="V5" s="33" t="n">
        <v>70</v>
      </c>
      <c r="W5" s="33" t="n">
        <v>70</v>
      </c>
      <c r="X5" s="33" t="n">
        <v>70</v>
      </c>
      <c r="Y5" s="33" t="n">
        <v>70</v>
      </c>
      <c r="Z5" s="12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customFormat="false" ht="14.45" hidden="false" customHeight="true" outlineLevel="0" collapsed="false">
      <c r="A6" s="18" t="s">
        <v>17</v>
      </c>
      <c r="B6" s="19"/>
      <c r="C6" s="20"/>
      <c r="D6" s="19"/>
      <c r="E6" s="20"/>
      <c r="F6" s="19"/>
      <c r="G6" s="20"/>
      <c r="H6" s="19"/>
      <c r="I6" s="20"/>
      <c r="J6" s="19"/>
      <c r="K6" s="20"/>
      <c r="L6" s="19"/>
      <c r="M6" s="12"/>
      <c r="N6" s="34" t="s">
        <v>18</v>
      </c>
      <c r="O6" s="19" t="n">
        <v>1000</v>
      </c>
      <c r="P6" s="20" t="n">
        <v>1000</v>
      </c>
      <c r="Q6" s="20" t="n">
        <v>100</v>
      </c>
      <c r="R6" s="20" t="n">
        <v>100</v>
      </c>
      <c r="S6" s="20" t="n">
        <v>100</v>
      </c>
      <c r="T6" s="20" t="n">
        <v>100</v>
      </c>
      <c r="U6" s="20" t="n">
        <v>100</v>
      </c>
      <c r="V6" s="20" t="n">
        <v>100</v>
      </c>
      <c r="W6" s="20" t="n">
        <v>100</v>
      </c>
      <c r="X6" s="20" t="n">
        <v>100</v>
      </c>
      <c r="Y6" s="20" t="n">
        <v>100</v>
      </c>
      <c r="Z6" s="3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customFormat="false" ht="14.45" hidden="false" customHeight="true" outlineLevel="0" collapsed="false">
      <c r="A7" s="18" t="s">
        <v>19</v>
      </c>
      <c r="B7" s="19"/>
      <c r="C7" s="20"/>
      <c r="D7" s="19"/>
      <c r="E7" s="20"/>
      <c r="F7" s="19"/>
      <c r="G7" s="20"/>
      <c r="H7" s="19"/>
      <c r="I7" s="20"/>
      <c r="J7" s="19"/>
      <c r="K7" s="20"/>
      <c r="L7" s="19"/>
      <c r="M7" s="12"/>
      <c r="N7" s="36" t="s">
        <v>20</v>
      </c>
      <c r="O7" s="37" t="n">
        <v>600</v>
      </c>
      <c r="P7" s="38" t="n">
        <v>600</v>
      </c>
      <c r="Q7" s="38" t="n">
        <v>60</v>
      </c>
      <c r="R7" s="38" t="n">
        <v>60</v>
      </c>
      <c r="S7" s="38" t="n">
        <v>60</v>
      </c>
      <c r="T7" s="38" t="n">
        <v>60</v>
      </c>
      <c r="U7" s="38" t="n">
        <v>60</v>
      </c>
      <c r="V7" s="38" t="n">
        <v>60</v>
      </c>
      <c r="W7" s="38" t="n">
        <v>60</v>
      </c>
      <c r="X7" s="38" t="n">
        <v>60</v>
      </c>
      <c r="Y7" s="38" t="n">
        <v>60</v>
      </c>
      <c r="Z7" s="3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customFormat="false" ht="14.45" hidden="false" customHeight="true" outlineLevel="0" collapsed="false">
      <c r="A8" s="39" t="s">
        <v>21</v>
      </c>
      <c r="B8" s="32"/>
      <c r="C8" s="33"/>
      <c r="D8" s="32"/>
      <c r="E8" s="33"/>
      <c r="F8" s="32"/>
      <c r="G8" s="33"/>
      <c r="H8" s="32"/>
      <c r="I8" s="33"/>
      <c r="J8" s="32"/>
      <c r="K8" s="33"/>
      <c r="L8" s="32"/>
      <c r="M8" s="12"/>
      <c r="N8" s="31" t="s">
        <v>22</v>
      </c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3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customFormat="false" ht="14.45" hidden="false" customHeight="true" outlineLevel="0" collapsed="false">
      <c r="A9" s="39" t="s">
        <v>23</v>
      </c>
      <c r="B9" s="32"/>
      <c r="C9" s="33"/>
      <c r="D9" s="32"/>
      <c r="E9" s="33"/>
      <c r="F9" s="32"/>
      <c r="G9" s="33"/>
      <c r="H9" s="32"/>
      <c r="I9" s="33"/>
      <c r="J9" s="32"/>
      <c r="K9" s="33"/>
      <c r="L9" s="32"/>
      <c r="M9" s="12"/>
      <c r="N9" s="31" t="s">
        <v>24</v>
      </c>
      <c r="O9" s="40"/>
      <c r="P9" s="41"/>
      <c r="Q9" s="41"/>
      <c r="R9" s="41"/>
      <c r="S9" s="41"/>
      <c r="T9" s="41"/>
      <c r="U9" s="41"/>
      <c r="V9" s="41"/>
      <c r="W9" s="41"/>
      <c r="X9" s="41"/>
      <c r="Y9" s="41"/>
      <c r="Z9" s="3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customFormat="false" ht="14.45" hidden="false" customHeight="true" outlineLevel="0" collapsed="false">
      <c r="A10" s="18" t="s">
        <v>25</v>
      </c>
      <c r="B10" s="19"/>
      <c r="C10" s="20"/>
      <c r="D10" s="19"/>
      <c r="E10" s="20"/>
      <c r="F10" s="19"/>
      <c r="G10" s="20"/>
      <c r="H10" s="19"/>
      <c r="I10" s="20"/>
      <c r="J10" s="19"/>
      <c r="K10" s="20"/>
      <c r="L10" s="19"/>
      <c r="M10" s="12"/>
      <c r="N10" s="34" t="s">
        <v>26</v>
      </c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customFormat="false" ht="14.45" hidden="false" customHeight="true" outlineLevel="0" collapsed="false">
      <c r="A11" s="18" t="s">
        <v>27</v>
      </c>
      <c r="B11" s="19"/>
      <c r="C11" s="20"/>
      <c r="D11" s="19"/>
      <c r="E11" s="20"/>
      <c r="F11" s="19"/>
      <c r="G11" s="20"/>
      <c r="H11" s="19"/>
      <c r="I11" s="20"/>
      <c r="J11" s="19"/>
      <c r="K11" s="20"/>
      <c r="L11" s="19"/>
      <c r="M11" s="12"/>
      <c r="N11" s="31" t="s">
        <v>28</v>
      </c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customFormat="false" ht="14.45" hidden="false" customHeight="true" outlineLevel="0" collapsed="false">
      <c r="A12" s="18" t="s">
        <v>29</v>
      </c>
      <c r="B12" s="19"/>
      <c r="C12" s="20"/>
      <c r="D12" s="19"/>
      <c r="E12" s="20"/>
      <c r="F12" s="19"/>
      <c r="G12" s="20"/>
      <c r="H12" s="19"/>
      <c r="I12" s="20"/>
      <c r="J12" s="19"/>
      <c r="K12" s="20"/>
      <c r="L12" s="19"/>
      <c r="M12" s="12"/>
      <c r="N12" s="34" t="s">
        <v>30</v>
      </c>
      <c r="O12" s="37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customFormat="false" ht="14.45" hidden="false" customHeight="true" outlineLevel="0" collapsed="false">
      <c r="A13" s="39" t="s">
        <v>31</v>
      </c>
      <c r="B13" s="32"/>
      <c r="C13" s="33"/>
      <c r="D13" s="32"/>
      <c r="E13" s="33"/>
      <c r="F13" s="32"/>
      <c r="G13" s="33"/>
      <c r="H13" s="32"/>
      <c r="I13" s="33"/>
      <c r="J13" s="32"/>
      <c r="K13" s="33"/>
      <c r="L13" s="32"/>
      <c r="M13" s="12"/>
      <c r="N13" s="31" t="s">
        <v>32</v>
      </c>
      <c r="O13" s="40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customFormat="false" ht="14.45" hidden="false" customHeight="true" outlineLevel="0" collapsed="false">
      <c r="A14" s="39" t="s">
        <v>33</v>
      </c>
      <c r="B14" s="32"/>
      <c r="C14" s="33"/>
      <c r="D14" s="32"/>
      <c r="E14" s="33"/>
      <c r="F14" s="32"/>
      <c r="G14" s="33"/>
      <c r="H14" s="32"/>
      <c r="I14" s="33"/>
      <c r="J14" s="32"/>
      <c r="K14" s="33"/>
      <c r="L14" s="32"/>
      <c r="M14" s="12"/>
      <c r="N14" s="42" t="s">
        <v>34</v>
      </c>
      <c r="O14" s="43" t="n">
        <f aca="false">O13/10</f>
        <v>0</v>
      </c>
      <c r="P14" s="44" t="n">
        <f aca="false">P13/10</f>
        <v>0</v>
      </c>
      <c r="Q14" s="44" t="n">
        <f aca="false">Q13/10</f>
        <v>0</v>
      </c>
      <c r="R14" s="44" t="n">
        <f aca="false">R13/10</f>
        <v>0</v>
      </c>
      <c r="S14" s="44" t="n">
        <f aca="false">S13/10</f>
        <v>0</v>
      </c>
      <c r="T14" s="44" t="n">
        <f aca="false">T13/10</f>
        <v>0</v>
      </c>
      <c r="U14" s="44" t="n">
        <f aca="false">U13/10</f>
        <v>0</v>
      </c>
      <c r="V14" s="44" t="n">
        <f aca="false">V13/10</f>
        <v>0</v>
      </c>
      <c r="W14" s="44" t="n">
        <f aca="false">W13/10</f>
        <v>0</v>
      </c>
      <c r="X14" s="44" t="n">
        <f aca="false">X13/10</f>
        <v>0</v>
      </c>
      <c r="Y14" s="44" t="n">
        <f aca="false">Y13/10</f>
        <v>0</v>
      </c>
      <c r="Z14" s="14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customFormat="false" ht="14.45" hidden="false" customHeight="true" outlineLevel="0" collapsed="false">
      <c r="A15" s="39" t="s">
        <v>35</v>
      </c>
      <c r="B15" s="32"/>
      <c r="C15" s="33"/>
      <c r="D15" s="32"/>
      <c r="E15" s="33"/>
      <c r="F15" s="32"/>
      <c r="G15" s="33"/>
      <c r="H15" s="32"/>
      <c r="I15" s="33"/>
      <c r="J15" s="32"/>
      <c r="K15" s="33"/>
      <c r="L15" s="32"/>
      <c r="M15" s="12"/>
      <c r="N15" s="22" t="s">
        <v>36</v>
      </c>
      <c r="O15" s="45" t="b">
        <v>0</v>
      </c>
      <c r="P15" s="46" t="b">
        <v>0</v>
      </c>
      <c r="Q15" s="46" t="b">
        <v>0</v>
      </c>
      <c r="R15" s="46" t="n">
        <f aca="false">FALSE()</f>
        <v>0</v>
      </c>
      <c r="S15" s="46" t="n">
        <f aca="false">FALSE()</f>
        <v>0</v>
      </c>
      <c r="T15" s="46" t="n">
        <f aca="false">FALSE()</f>
        <v>0</v>
      </c>
      <c r="U15" s="46" t="n">
        <f aca="false">FALSE()</f>
        <v>0</v>
      </c>
      <c r="V15" s="46" t="n">
        <f aca="false">FALSE()</f>
        <v>0</v>
      </c>
      <c r="W15" s="46" t="n">
        <f aca="false">FALSE()</f>
        <v>0</v>
      </c>
      <c r="X15" s="46" t="n">
        <f aca="false">FALSE()</f>
        <v>0</v>
      </c>
      <c r="Y15" s="46" t="n">
        <f aca="false">FALSE()</f>
        <v>0</v>
      </c>
      <c r="Z15" s="3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customFormat="false" ht="14.45" hidden="false" customHeight="true" outlineLevel="0" collapsed="false">
      <c r="A16" s="18" t="s">
        <v>37</v>
      </c>
      <c r="B16" s="19"/>
      <c r="C16" s="20"/>
      <c r="D16" s="19"/>
      <c r="E16" s="20"/>
      <c r="F16" s="19"/>
      <c r="G16" s="20"/>
      <c r="H16" s="19"/>
      <c r="I16" s="20"/>
      <c r="J16" s="19"/>
      <c r="K16" s="20"/>
      <c r="L16" s="19"/>
      <c r="M16" s="12"/>
      <c r="N16" s="22" t="s">
        <v>38</v>
      </c>
      <c r="O16" s="22" t="n">
        <f aca="false">IF(O15, (O13/10)*1.5, O13/10)</f>
        <v>0</v>
      </c>
      <c r="P16" s="22" t="n">
        <f aca="false">IF(P15, (P13/10)*1.5, P13/10)</f>
        <v>0</v>
      </c>
      <c r="Q16" s="22" t="n">
        <f aca="false">IF(Q15, (Q13/10)*1.5, Q13/10)</f>
        <v>0</v>
      </c>
      <c r="R16" s="22" t="n">
        <f aca="false">IF(R15, (R13/10)*1.5, R13/10)</f>
        <v>0</v>
      </c>
      <c r="S16" s="22" t="n">
        <f aca="false">IF(S15, (S13/10)*1.5, S13/10)</f>
        <v>0</v>
      </c>
      <c r="T16" s="22" t="n">
        <f aca="false">IF(T15, (T13/10)*1.5, T13/10)</f>
        <v>0</v>
      </c>
      <c r="U16" s="22" t="n">
        <f aca="false">IF(U15, (U13/10)*1.5, U13/10)</f>
        <v>0</v>
      </c>
      <c r="V16" s="22" t="n">
        <f aca="false">IF(V15, (V13/10)*1.5, V13/10)</f>
        <v>0</v>
      </c>
      <c r="W16" s="22" t="n">
        <f aca="false">IF(W15, (W13/10)*1.5, W13/10)</f>
        <v>0</v>
      </c>
      <c r="X16" s="22" t="n">
        <f aca="false">IF(X15, (X13/10)*1.5, X13/10)</f>
        <v>0</v>
      </c>
      <c r="Y16" s="22" t="n">
        <f aca="false">IF(Y15, (Y13/10)*1.5, Y13/10)</f>
        <v>0</v>
      </c>
      <c r="Z16" s="3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customFormat="false" ht="14.45" hidden="false" customHeight="true" outlineLevel="0" collapsed="false">
      <c r="A17" s="18" t="s">
        <v>39</v>
      </c>
      <c r="B17" s="19"/>
      <c r="C17" s="20"/>
      <c r="D17" s="19"/>
      <c r="E17" s="20"/>
      <c r="F17" s="19"/>
      <c r="G17" s="20"/>
      <c r="H17" s="19"/>
      <c r="I17" s="20"/>
      <c r="J17" s="19"/>
      <c r="K17" s="20"/>
      <c r="L17" s="19"/>
      <c r="M17" s="12"/>
      <c r="N17" s="34" t="s">
        <v>40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customFormat="false" ht="14.45" hidden="false" customHeight="true" outlineLevel="0" collapsed="false">
      <c r="A18" s="39" t="s">
        <v>41</v>
      </c>
      <c r="B18" s="32"/>
      <c r="C18" s="33"/>
      <c r="D18" s="32"/>
      <c r="E18" s="33"/>
      <c r="F18" s="32"/>
      <c r="G18" s="33"/>
      <c r="H18" s="32"/>
      <c r="I18" s="33"/>
      <c r="J18" s="32"/>
      <c r="K18" s="33"/>
      <c r="L18" s="32"/>
      <c r="M18" s="12"/>
      <c r="N18" s="42" t="s">
        <v>34</v>
      </c>
      <c r="O18" s="43" t="n">
        <f aca="false">O17/10</f>
        <v>0</v>
      </c>
      <c r="P18" s="44" t="n">
        <f aca="false">P17/10</f>
        <v>0</v>
      </c>
      <c r="Q18" s="44" t="n">
        <f aca="false">Q17/10</f>
        <v>0</v>
      </c>
      <c r="R18" s="44" t="n">
        <f aca="false">R17/10</f>
        <v>0</v>
      </c>
      <c r="S18" s="44" t="n">
        <f aca="false">S17/10</f>
        <v>0</v>
      </c>
      <c r="T18" s="44" t="n">
        <f aca="false">T17/10</f>
        <v>0</v>
      </c>
      <c r="U18" s="44" t="n">
        <f aca="false">U17/10</f>
        <v>0</v>
      </c>
      <c r="V18" s="44" t="n">
        <f aca="false">V17/10</f>
        <v>0</v>
      </c>
      <c r="W18" s="44" t="n">
        <f aca="false">W17/10</f>
        <v>0</v>
      </c>
      <c r="X18" s="44" t="n">
        <f aca="false">X17/10</f>
        <v>0</v>
      </c>
      <c r="Y18" s="44" t="n">
        <f aca="false">Y17/10</f>
        <v>0</v>
      </c>
      <c r="Z18" s="3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customFormat="false" ht="14.45" hidden="false" customHeight="true" outlineLevel="0" collapsed="false">
      <c r="A19" s="39" t="s">
        <v>42</v>
      </c>
      <c r="B19" s="32"/>
      <c r="C19" s="33"/>
      <c r="D19" s="32"/>
      <c r="E19" s="33"/>
      <c r="F19" s="32"/>
      <c r="G19" s="33"/>
      <c r="H19" s="32"/>
      <c r="I19" s="33"/>
      <c r="J19" s="32"/>
      <c r="K19" s="33"/>
      <c r="L19" s="32"/>
      <c r="M19" s="12"/>
      <c r="N19" s="22" t="s">
        <v>43</v>
      </c>
      <c r="O19" s="22" t="s">
        <v>44</v>
      </c>
      <c r="P19" s="41"/>
      <c r="Q19" s="12"/>
      <c r="R19" s="12"/>
      <c r="S19" s="12"/>
      <c r="T19" s="12"/>
      <c r="U19" s="12"/>
      <c r="V19" s="12"/>
      <c r="W19" s="12"/>
      <c r="X19" s="12"/>
      <c r="Y19" s="12"/>
      <c r="Z19" s="3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customFormat="false" ht="14.45" hidden="false" customHeight="true" outlineLevel="0" collapsed="false">
      <c r="A20" s="18" t="s">
        <v>45</v>
      </c>
      <c r="B20" s="19"/>
      <c r="C20" s="20"/>
      <c r="D20" s="19"/>
      <c r="E20" s="20"/>
      <c r="F20" s="19"/>
      <c r="G20" s="20"/>
      <c r="H20" s="19"/>
      <c r="I20" s="20"/>
      <c r="J20" s="19"/>
      <c r="K20" s="20"/>
      <c r="L20" s="19"/>
      <c r="M20" s="12"/>
      <c r="N20" s="22" t="s">
        <v>38</v>
      </c>
      <c r="O20" s="22" t="n">
        <f aca="false">O18*(1+(P19/100))</f>
        <v>0</v>
      </c>
      <c r="P20" s="22" t="n">
        <f aca="false">P18*(1+(P19/100))</f>
        <v>0</v>
      </c>
      <c r="Q20" s="22" t="n">
        <f aca="false">Q18*(1+(P19/100))</f>
        <v>0</v>
      </c>
      <c r="R20" s="22" t="n">
        <f aca="false">R18*(1+(P19/100))</f>
        <v>0</v>
      </c>
      <c r="S20" s="22" t="n">
        <f aca="false">S18*(1+(P19/100))</f>
        <v>0</v>
      </c>
      <c r="T20" s="22" t="n">
        <f aca="false">T18*(1+(P19/100))</f>
        <v>0</v>
      </c>
      <c r="U20" s="22" t="n">
        <f aca="false">U18*(1+(P19/100))</f>
        <v>0</v>
      </c>
      <c r="V20" s="22" t="n">
        <f aca="false">V18*(1+(P19/100))</f>
        <v>0</v>
      </c>
      <c r="W20" s="22" t="n">
        <f aca="false">W18*(1+(P19/100))</f>
        <v>0</v>
      </c>
      <c r="X20" s="22" t="n">
        <f aca="false">X18*(1+(P19/100))</f>
        <v>0</v>
      </c>
      <c r="Y20" s="22" t="n">
        <f aca="false">Y18*(1+(P19/100))</f>
        <v>0</v>
      </c>
      <c r="Z20" s="3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customFormat="false" ht="14.45" hidden="false" customHeight="true" outlineLevel="0" collapsed="false">
      <c r="A21" s="39" t="s">
        <v>46</v>
      </c>
      <c r="B21" s="32"/>
      <c r="C21" s="33"/>
      <c r="D21" s="32"/>
      <c r="E21" s="33"/>
      <c r="F21" s="32"/>
      <c r="G21" s="33"/>
      <c r="H21" s="32"/>
      <c r="I21" s="33"/>
      <c r="J21" s="32"/>
      <c r="K21" s="33"/>
      <c r="L21" s="32"/>
      <c r="M21" s="12"/>
      <c r="N21" s="47" t="s">
        <v>47</v>
      </c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3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customFormat="false" ht="14.45" hidden="false" customHeight="true" outlineLevel="0" collapsed="false">
      <c r="A22" s="18" t="s">
        <v>48</v>
      </c>
      <c r="B22" s="19"/>
      <c r="C22" s="20"/>
      <c r="D22" s="19"/>
      <c r="E22" s="20"/>
      <c r="F22" s="19"/>
      <c r="G22" s="20"/>
      <c r="H22" s="19"/>
      <c r="I22" s="20"/>
      <c r="J22" s="19"/>
      <c r="K22" s="20"/>
      <c r="L22" s="19"/>
      <c r="M22" s="12"/>
      <c r="N22" s="49" t="s">
        <v>49</v>
      </c>
      <c r="O22" s="49" t="n">
        <f aca="false">SUM(B7,B9,B11,B12,B14,B15,B17,O2,O5,O6,O16,O12,O20,O7,O9,O10,O8,B28,O11)</f>
        <v>5400</v>
      </c>
      <c r="P22" s="49" t="n">
        <f aca="false">SUM(C7,C9,C11,C12,C14,C15,C17,P2,P5,P6,P16,P12,P20,P7,P9,P10,P8,C28,P11)</f>
        <v>5400</v>
      </c>
      <c r="Q22" s="49" t="n">
        <f aca="false">SUM(D7,D9,D11,D12,D14,D15,D17,Q2,Q5,Q6,Q16,Q12,Q20,Q7,Q9,Q10,Q8,D28,Q11)</f>
        <v>480</v>
      </c>
      <c r="R22" s="49" t="n">
        <f aca="false">SUM(E7,E9,E11,E12,E14,E15,E17,R2,R5,R6,R16,R12,R20,R7,R9,R10,R8,E28,R11)</f>
        <v>480</v>
      </c>
      <c r="S22" s="49" t="n">
        <f aca="false">SUM(F7,F9,F11,F12,F14,F15,F17,S2,S5,S6,S16,S12,S20,S7,S9,S10,S8,F28,S11)</f>
        <v>480</v>
      </c>
      <c r="T22" s="49" t="n">
        <f aca="false">SUM(G7,G9,G11,G12,G14,G15,G17,T2,T5,T6,T16,T12,T20,T7,T9,T10,T8,G28,T11)</f>
        <v>480</v>
      </c>
      <c r="U22" s="49" t="n">
        <f aca="false">SUM(H7,H9,H11,H12,H14,H15,H17,U2,U5,U6,U16,U12,U20,U7,U9,U10,U8,H28,U11)</f>
        <v>480</v>
      </c>
      <c r="V22" s="49" t="n">
        <f aca="false">SUM(I7,I9,I11,I12,I14,I15,I17,V2,V5,V6,V16,V12,V20,V7,V9,V10,V8,I28,V11)</f>
        <v>480</v>
      </c>
      <c r="W22" s="49" t="n">
        <f aca="false">SUM(J7,J9,J11,J12,J14,J15,J17,W2,W5,W6,W16,W12,W20,W7,W9,W10,W8,J28,W11)</f>
        <v>480</v>
      </c>
      <c r="X22" s="49" t="n">
        <f aca="false">SUM(K7,K9,K11,K12,K14,K15,K17,X2,X5,X6,X16,X12,X20,X7,X9,X10,X8,K28,X11)</f>
        <v>480</v>
      </c>
      <c r="Y22" s="49" t="n">
        <f aca="false">SUM(L7,L9,L11,L12,L14,L15,L17,Y2,Y5,Y6,Y16,Y12,Y20,Y7,Y9,Y10,Y8,L28,Y11)</f>
        <v>480</v>
      </c>
      <c r="Z22" s="3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customFormat="false" ht="14.45" hidden="false" customHeight="true" outlineLevel="0" collapsed="false">
      <c r="A23" s="39" t="s">
        <v>50</v>
      </c>
      <c r="B23" s="32"/>
      <c r="C23" s="33"/>
      <c r="D23" s="32"/>
      <c r="E23" s="33"/>
      <c r="F23" s="32"/>
      <c r="G23" s="33"/>
      <c r="H23" s="32"/>
      <c r="I23" s="33"/>
      <c r="J23" s="32"/>
      <c r="K23" s="33"/>
      <c r="L23" s="32"/>
      <c r="M23" s="12"/>
      <c r="N23" s="50" t="s">
        <v>51</v>
      </c>
      <c r="O23" s="49" t="n">
        <f aca="false">SUM(B6,B8,B10,B13,B16,B18,B19,B20,B21,B22,B23,B24,B25,B26,B27)</f>
        <v>0</v>
      </c>
      <c r="P23" s="49" t="n">
        <f aca="false">SUM(C6,C8,C10,C13,C18,C19,C20,C21,C22,C23,C24,C25,C26,C27)</f>
        <v>0</v>
      </c>
      <c r="Q23" s="49" t="n">
        <f aca="false">SUM(D6,D8,D10,D13,D18,D19,D20,D21,D22,D23,D24,D25,D26,D27)</f>
        <v>0</v>
      </c>
      <c r="R23" s="49" t="n">
        <f aca="false">SUM(E6,E8,E10,E13,E18,E19,E20,E21,E22,E23,E24,E25,E26,E27)</f>
        <v>0</v>
      </c>
      <c r="S23" s="49" t="n">
        <f aca="false">SUM(F6,F8,F10,F13,F18,F19,F20,F21,F22,F23,F24,F25,F26,F27)</f>
        <v>0</v>
      </c>
      <c r="T23" s="49" t="n">
        <f aca="false">SUM(G6,G8,G10,G13,G18,G19,G20,G21,G22,G23,G24,G25,G26,G27)</f>
        <v>0</v>
      </c>
      <c r="U23" s="49" t="n">
        <f aca="false">SUM(H6,H8,H10,H13,H18,H19,H20,H21,H22,H23,H24,H25,H26,H27)</f>
        <v>0</v>
      </c>
      <c r="V23" s="49" t="n">
        <f aca="false">SUM(I6,I8,I10,I13,I18,I19,I20,I21,I22,I23,I24,I25,I26,I27)</f>
        <v>0</v>
      </c>
      <c r="W23" s="49" t="n">
        <f aca="false">SUM(J6,J8,J10,J13,J18,J19,J20,J21,J22,J23,J24,J25,J26,J27)</f>
        <v>0</v>
      </c>
      <c r="X23" s="49" t="n">
        <f aca="false">SUM(K6,K8,K10,K13,K18,K19,K20,K21,K22,K23,K24,K25,K26,K27)</f>
        <v>0</v>
      </c>
      <c r="Y23" s="49" t="n">
        <f aca="false">SUM(L6,L8,L10,L13,L18,L19,L20,L21,L22,L23,L24,L25,L26,L27)</f>
        <v>0</v>
      </c>
      <c r="Z23" s="3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customFormat="false" ht="14.45" hidden="false" customHeight="true" outlineLevel="0" collapsed="false">
      <c r="A24" s="18" t="s">
        <v>52</v>
      </c>
      <c r="B24" s="19"/>
      <c r="C24" s="20"/>
      <c r="D24" s="19"/>
      <c r="E24" s="20"/>
      <c r="F24" s="19"/>
      <c r="G24" s="20"/>
      <c r="H24" s="19"/>
      <c r="I24" s="20"/>
      <c r="J24" s="19"/>
      <c r="K24" s="20"/>
      <c r="L24" s="19"/>
      <c r="M24" s="12"/>
      <c r="N24" s="51" t="s">
        <v>53</v>
      </c>
      <c r="O24" s="22" t="n">
        <f aca="false">IF(O23&lt;=O21, O23, O21+(O23-O21)/2)</f>
        <v>0</v>
      </c>
      <c r="P24" s="22" t="n">
        <f aca="false">IF(P23&lt;=P21, P23, P21+(P23-P21)/2)</f>
        <v>0</v>
      </c>
      <c r="Q24" s="22" t="n">
        <f aca="false">IF(Q23&lt;=Q21, Q23, Q21+(Q23-Q21)/2)</f>
        <v>0</v>
      </c>
      <c r="R24" s="22" t="n">
        <f aca="false">IF(R23&lt;=R21, R23, R21+(R23-R21)/2)</f>
        <v>0</v>
      </c>
      <c r="S24" s="22" t="n">
        <f aca="false">IF(S23&lt;=S21, S23, S21+(S23-S21)/2)</f>
        <v>0</v>
      </c>
      <c r="T24" s="22" t="n">
        <f aca="false">IF(T23&lt;=T21, T23, T21+(T23-T21)/2)</f>
        <v>0</v>
      </c>
      <c r="U24" s="22" t="n">
        <f aca="false">IF(U23&lt;=U21, U23, U21+(U23-U21)/2)</f>
        <v>0</v>
      </c>
      <c r="V24" s="22" t="n">
        <f aca="false">IF(V23&lt;=V21, V23, V21+(V23-V21)/2)</f>
        <v>0</v>
      </c>
      <c r="W24" s="22" t="n">
        <f aca="false">IF(W23&lt;=W21, W23, W21+(W23-W21)/2)</f>
        <v>0</v>
      </c>
      <c r="X24" s="22" t="n">
        <f aca="false">IF(X23&lt;=X21, X23, X21+(X23-X21)/2)</f>
        <v>0</v>
      </c>
      <c r="Y24" s="22" t="n">
        <f aca="false">IF(Y23&lt;=Y21, Y23, Y21+(Y23-Y21)/2)</f>
        <v>0</v>
      </c>
      <c r="Z24" s="3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customFormat="false" ht="16.15" hidden="false" customHeight="true" outlineLevel="0" collapsed="false">
      <c r="A25" s="39" t="s">
        <v>54</v>
      </c>
      <c r="B25" s="32"/>
      <c r="C25" s="33"/>
      <c r="D25" s="32"/>
      <c r="E25" s="33"/>
      <c r="F25" s="32"/>
      <c r="G25" s="33"/>
      <c r="H25" s="32"/>
      <c r="I25" s="33"/>
      <c r="J25" s="32"/>
      <c r="K25" s="33"/>
      <c r="L25" s="32"/>
      <c r="M25" s="25"/>
      <c r="N25" s="14"/>
      <c r="O25" s="52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3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customFormat="false" ht="16.15" hidden="false" customHeight="true" outlineLevel="0" collapsed="false">
      <c r="A26" s="18" t="s">
        <v>55</v>
      </c>
      <c r="B26" s="19"/>
      <c r="C26" s="20"/>
      <c r="D26" s="19"/>
      <c r="E26" s="20"/>
      <c r="F26" s="19"/>
      <c r="G26" s="20"/>
      <c r="H26" s="19"/>
      <c r="I26" s="20"/>
      <c r="J26" s="19"/>
      <c r="K26" s="20"/>
      <c r="L26" s="19"/>
      <c r="M26" s="12"/>
      <c r="N26" s="14"/>
      <c r="O26" s="52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3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customFormat="false" ht="16.15" hidden="false" customHeight="true" outlineLevel="0" collapsed="false">
      <c r="A27" s="39" t="s">
        <v>56</v>
      </c>
      <c r="B27" s="32"/>
      <c r="C27" s="33"/>
      <c r="D27" s="32"/>
      <c r="E27" s="33"/>
      <c r="F27" s="32"/>
      <c r="G27" s="33"/>
      <c r="H27" s="32"/>
      <c r="I27" s="33"/>
      <c r="J27" s="32"/>
      <c r="K27" s="33"/>
      <c r="L27" s="32"/>
      <c r="M27" s="12"/>
      <c r="N27" s="14"/>
      <c r="O27" s="52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3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customFormat="false" ht="16.15" hidden="false" customHeight="true" outlineLevel="0" collapsed="false">
      <c r="A28" s="18" t="s">
        <v>57</v>
      </c>
      <c r="B28" s="19"/>
      <c r="C28" s="20"/>
      <c r="D28" s="19"/>
      <c r="E28" s="20"/>
      <c r="F28" s="19"/>
      <c r="G28" s="20"/>
      <c r="H28" s="19"/>
      <c r="I28" s="20"/>
      <c r="J28" s="19"/>
      <c r="K28" s="20"/>
      <c r="L28" s="19"/>
      <c r="M28" s="35"/>
      <c r="N28" s="14"/>
      <c r="O28" s="52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customFormat="false" ht="16.15" hidden="false" customHeight="true" outlineLevel="0" collapsed="false">
      <c r="A29" s="26"/>
      <c r="B29" s="25"/>
      <c r="C29" s="25"/>
      <c r="D29" s="25"/>
      <c r="E29" s="53"/>
      <c r="F29" s="53"/>
      <c r="G29" s="53"/>
      <c r="H29" s="27"/>
      <c r="I29" s="27"/>
      <c r="J29" s="27"/>
      <c r="K29" s="27"/>
      <c r="L29" s="54"/>
      <c r="M29" s="12"/>
      <c r="N29" s="14"/>
      <c r="O29" s="52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customFormat="false" ht="16.15" hidden="false" customHeight="true" outlineLevel="0" collapsed="false">
      <c r="A30" s="26"/>
      <c r="B30" s="25"/>
      <c r="C30" s="25"/>
      <c r="D30" s="25"/>
      <c r="E30" s="53"/>
      <c r="F30" s="53"/>
      <c r="G30" s="53"/>
      <c r="H30" s="27"/>
      <c r="I30" s="27"/>
      <c r="J30" s="27"/>
      <c r="K30" s="27"/>
      <c r="L30" s="54"/>
      <c r="M30" s="12"/>
      <c r="N30" s="14"/>
      <c r="O30" s="52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</row>
    <row r="31" customFormat="false" ht="16.15" hidden="false" customHeight="tru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</row>
    <row r="32" customFormat="false" ht="16.15" hidden="false" customHeight="true" outlineLevel="0" collapsed="false">
      <c r="A32" s="26"/>
      <c r="B32" s="25"/>
      <c r="C32" s="25"/>
      <c r="D32" s="25"/>
      <c r="E32" s="53"/>
      <c r="F32" s="53"/>
      <c r="G32" s="53"/>
      <c r="H32" s="27"/>
      <c r="I32" s="27"/>
      <c r="J32" s="27"/>
      <c r="K32" s="27"/>
      <c r="L32" s="54"/>
      <c r="M32" s="12"/>
      <c r="N32" s="14"/>
      <c r="O32" s="52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</row>
    <row r="33" customFormat="false" ht="16.15" hidden="false" customHeight="true" outlineLevel="0" collapsed="false">
      <c r="A33" s="26"/>
      <c r="B33" s="25"/>
      <c r="C33" s="25"/>
      <c r="D33" s="25"/>
      <c r="E33" s="53"/>
      <c r="F33" s="53"/>
      <c r="G33" s="53"/>
      <c r="H33" s="27"/>
      <c r="I33" s="27"/>
      <c r="J33" s="27"/>
      <c r="K33" s="27"/>
      <c r="L33" s="54"/>
      <c r="M33" s="12"/>
      <c r="N33" s="14"/>
      <c r="O33" s="52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</row>
    <row r="34" customFormat="false" ht="16.15" hidden="false" customHeight="true" outlineLevel="0" collapsed="false">
      <c r="A34" s="26"/>
      <c r="B34" s="25"/>
      <c r="C34" s="25"/>
      <c r="D34" s="25"/>
      <c r="E34" s="53"/>
      <c r="F34" s="53"/>
      <c r="G34" s="53"/>
      <c r="H34" s="27"/>
      <c r="I34" s="27"/>
      <c r="J34" s="27"/>
      <c r="K34" s="27"/>
      <c r="L34" s="54"/>
      <c r="M34" s="12"/>
      <c r="N34" s="14"/>
      <c r="O34" s="52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</row>
    <row r="35" customFormat="false" ht="16.15" hidden="false" customHeight="true" outlineLevel="0" collapsed="false">
      <c r="A35" s="26"/>
      <c r="B35" s="25"/>
      <c r="C35" s="25"/>
      <c r="D35" s="25"/>
      <c r="E35" s="53"/>
      <c r="F35" s="53"/>
      <c r="G35" s="53"/>
      <c r="H35" s="27"/>
      <c r="I35" s="27"/>
      <c r="J35" s="27"/>
      <c r="K35" s="27"/>
      <c r="L35" s="54"/>
      <c r="M35" s="12"/>
      <c r="N35" s="14"/>
      <c r="O35" s="52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customFormat="false" ht="16.15" hidden="false" customHeight="true" outlineLevel="0" collapsed="false">
      <c r="A36" s="26"/>
      <c r="B36" s="25"/>
      <c r="C36" s="25"/>
      <c r="D36" s="25"/>
      <c r="E36" s="53"/>
      <c r="F36" s="53"/>
      <c r="G36" s="53"/>
      <c r="H36" s="27"/>
      <c r="I36" s="27"/>
      <c r="J36" s="27"/>
      <c r="K36" s="27"/>
      <c r="L36" s="54"/>
      <c r="M36" s="12"/>
      <c r="N36" s="25"/>
      <c r="O36" s="55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4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customFormat="false" ht="16.15" hidden="false" customHeight="true" outlineLevel="0" collapsed="false">
      <c r="A37" s="26"/>
      <c r="B37" s="25"/>
      <c r="C37" s="25"/>
      <c r="D37" s="25"/>
      <c r="E37" s="53"/>
      <c r="F37" s="53"/>
      <c r="G37" s="53"/>
      <c r="H37" s="27"/>
      <c r="I37" s="27"/>
      <c r="J37" s="27"/>
      <c r="K37" s="27"/>
      <c r="L37" s="54"/>
      <c r="M37" s="12"/>
      <c r="N37" s="25"/>
      <c r="O37" s="55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4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customFormat="false" ht="16.15" hidden="false" customHeight="true" outlineLevel="0" collapsed="false">
      <c r="A38" s="26"/>
      <c r="B38" s="25"/>
      <c r="C38" s="25"/>
      <c r="D38" s="25"/>
      <c r="E38" s="53"/>
      <c r="F38" s="53"/>
      <c r="G38" s="53"/>
      <c r="H38" s="27"/>
      <c r="I38" s="27"/>
      <c r="J38" s="27"/>
      <c r="K38" s="27"/>
      <c r="L38" s="54"/>
      <c r="M38" s="12"/>
      <c r="N38" s="25"/>
      <c r="O38" s="55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4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customFormat="false" ht="16.15" hidden="false" customHeight="true" outlineLevel="0" collapsed="false">
      <c r="A39" s="26"/>
      <c r="B39" s="25"/>
      <c r="C39" s="25"/>
      <c r="D39" s="25"/>
      <c r="E39" s="53"/>
      <c r="F39" s="53"/>
      <c r="G39" s="53"/>
      <c r="H39" s="27"/>
      <c r="I39" s="27"/>
      <c r="J39" s="27"/>
      <c r="K39" s="27"/>
      <c r="L39" s="54"/>
      <c r="M39" s="12"/>
      <c r="N39" s="25"/>
      <c r="O39" s="55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4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customFormat="false" ht="16.15" hidden="false" customHeight="true" outlineLevel="0" collapsed="false">
      <c r="A40" s="26"/>
      <c r="B40" s="25"/>
      <c r="C40" s="25"/>
      <c r="D40" s="25"/>
      <c r="E40" s="53"/>
      <c r="F40" s="53"/>
      <c r="G40" s="53"/>
      <c r="H40" s="27"/>
      <c r="I40" s="27"/>
      <c r="J40" s="27"/>
      <c r="K40" s="27"/>
      <c r="L40" s="54"/>
      <c r="M40" s="12"/>
      <c r="N40" s="25"/>
      <c r="O40" s="55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4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1" customFormat="false" ht="16.15" hidden="false" customHeight="true" outlineLevel="0" collapsed="false">
      <c r="A41" s="26"/>
      <c r="B41" s="25"/>
      <c r="C41" s="25"/>
      <c r="D41" s="25"/>
      <c r="E41" s="53"/>
      <c r="F41" s="53"/>
      <c r="G41" s="53"/>
      <c r="H41" s="27"/>
      <c r="I41" s="27"/>
      <c r="J41" s="27"/>
      <c r="K41" s="27"/>
      <c r="L41" s="54"/>
      <c r="M41" s="12"/>
      <c r="N41" s="25"/>
      <c r="O41" s="55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4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</row>
    <row r="42" customFormat="false" ht="16.15" hidden="false" customHeight="true" outlineLevel="0" collapsed="false">
      <c r="A42" s="26"/>
      <c r="B42" s="25"/>
      <c r="C42" s="25"/>
      <c r="D42" s="25"/>
      <c r="E42" s="53"/>
      <c r="F42" s="53"/>
      <c r="G42" s="53"/>
      <c r="H42" s="27"/>
      <c r="I42" s="27"/>
      <c r="J42" s="27"/>
      <c r="K42" s="27"/>
      <c r="L42" s="54"/>
      <c r="M42" s="12"/>
      <c r="N42" s="25"/>
      <c r="O42" s="55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4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</row>
    <row r="43" customFormat="false" ht="16.15" hidden="false" customHeight="true" outlineLevel="0" collapsed="false">
      <c r="A43" s="26"/>
      <c r="B43" s="25"/>
      <c r="C43" s="25"/>
      <c r="D43" s="25"/>
      <c r="E43" s="53"/>
      <c r="F43" s="53"/>
      <c r="G43" s="53"/>
      <c r="H43" s="27"/>
      <c r="I43" s="27"/>
      <c r="J43" s="27"/>
      <c r="K43" s="27"/>
      <c r="L43" s="54"/>
      <c r="M43" s="12"/>
      <c r="N43" s="25"/>
      <c r="O43" s="55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4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</row>
    <row r="44" customFormat="false" ht="16.15" hidden="false" customHeight="true" outlineLevel="0" collapsed="false">
      <c r="A44" s="26"/>
      <c r="B44" s="25"/>
      <c r="C44" s="25"/>
      <c r="D44" s="25"/>
      <c r="E44" s="53"/>
      <c r="F44" s="53"/>
      <c r="G44" s="53"/>
      <c r="H44" s="27"/>
      <c r="I44" s="27"/>
      <c r="J44" s="27"/>
      <c r="K44" s="27"/>
      <c r="L44" s="54"/>
      <c r="M44" s="12"/>
      <c r="N44" s="25"/>
      <c r="O44" s="55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4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</row>
    <row r="45" customFormat="false" ht="16.15" hidden="false" customHeight="true" outlineLevel="0" collapsed="false">
      <c r="A45" s="26"/>
      <c r="B45" s="25"/>
      <c r="C45" s="25"/>
      <c r="D45" s="25"/>
      <c r="E45" s="53"/>
      <c r="F45" s="53"/>
      <c r="G45" s="53"/>
      <c r="H45" s="27"/>
      <c r="I45" s="27"/>
      <c r="J45" s="27"/>
      <c r="K45" s="27"/>
      <c r="L45" s="54"/>
      <c r="M45" s="12"/>
      <c r="N45" s="25"/>
      <c r="O45" s="55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4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</row>
    <row r="46" customFormat="false" ht="16.15" hidden="false" customHeight="true" outlineLevel="0" collapsed="false">
      <c r="A46" s="26"/>
      <c r="B46" s="25"/>
      <c r="C46" s="25"/>
      <c r="D46" s="25"/>
      <c r="E46" s="53"/>
      <c r="F46" s="53"/>
      <c r="G46" s="53"/>
      <c r="H46" s="27"/>
      <c r="I46" s="27"/>
      <c r="J46" s="27"/>
      <c r="K46" s="27"/>
      <c r="L46" s="54"/>
      <c r="M46" s="12"/>
      <c r="N46" s="25"/>
      <c r="O46" s="55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4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</row>
    <row r="47" customFormat="false" ht="16.15" hidden="false" customHeight="true" outlineLevel="0" collapsed="false">
      <c r="A47" s="26"/>
      <c r="B47" s="25"/>
      <c r="C47" s="25"/>
      <c r="D47" s="25"/>
      <c r="E47" s="53"/>
      <c r="F47" s="53"/>
      <c r="G47" s="53"/>
      <c r="H47" s="27"/>
      <c r="I47" s="27"/>
      <c r="J47" s="27"/>
      <c r="K47" s="27"/>
      <c r="L47" s="54"/>
      <c r="M47" s="12"/>
      <c r="N47" s="25"/>
      <c r="O47" s="55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4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</row>
    <row r="48" customFormat="false" ht="16.15" hidden="false" customHeight="true" outlineLevel="0" collapsed="false">
      <c r="A48" s="26"/>
      <c r="B48" s="25"/>
      <c r="C48" s="25"/>
      <c r="D48" s="25"/>
      <c r="E48" s="53"/>
      <c r="F48" s="53"/>
      <c r="G48" s="53"/>
      <c r="H48" s="27"/>
      <c r="I48" s="27"/>
      <c r="J48" s="27"/>
      <c r="K48" s="27"/>
      <c r="L48" s="54"/>
      <c r="M48" s="12"/>
      <c r="N48" s="25"/>
      <c r="O48" s="55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4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</row>
    <row r="49" customFormat="false" ht="16.15" hidden="false" customHeight="true" outlineLevel="0" collapsed="false">
      <c r="A49" s="26"/>
      <c r="B49" s="25"/>
      <c r="C49" s="25"/>
      <c r="D49" s="25"/>
      <c r="E49" s="53"/>
      <c r="F49" s="53"/>
      <c r="G49" s="53"/>
      <c r="H49" s="27"/>
      <c r="I49" s="27"/>
      <c r="J49" s="27"/>
      <c r="K49" s="27"/>
      <c r="L49" s="54"/>
      <c r="M49" s="12"/>
      <c r="N49" s="25"/>
      <c r="O49" s="55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4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  <row r="50" customFormat="false" ht="16.15" hidden="false" customHeight="true" outlineLevel="0" collapsed="false">
      <c r="A50" s="26"/>
      <c r="B50" s="25"/>
      <c r="C50" s="25"/>
      <c r="D50" s="25"/>
      <c r="E50" s="53"/>
      <c r="F50" s="53"/>
      <c r="G50" s="53"/>
      <c r="H50" s="27"/>
      <c r="I50" s="27"/>
      <c r="J50" s="27"/>
      <c r="K50" s="27"/>
      <c r="L50" s="54"/>
      <c r="M50" s="12"/>
      <c r="N50" s="25"/>
      <c r="O50" s="55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4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</row>
    <row r="51" customFormat="false" ht="16.15" hidden="false" customHeight="true" outlineLevel="0" collapsed="false">
      <c r="A51" s="26"/>
      <c r="B51" s="25"/>
      <c r="C51" s="25"/>
      <c r="D51" s="25"/>
      <c r="E51" s="53"/>
      <c r="F51" s="53"/>
      <c r="G51" s="53"/>
      <c r="H51" s="27"/>
      <c r="I51" s="27"/>
      <c r="J51" s="27"/>
      <c r="K51" s="27"/>
      <c r="L51" s="54"/>
      <c r="M51" s="12"/>
      <c r="N51" s="25"/>
      <c r="O51" s="55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4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</row>
    <row r="52" customFormat="false" ht="16.15" hidden="false" customHeight="true" outlineLevel="0" collapsed="false">
      <c r="A52" s="26"/>
      <c r="B52" s="25"/>
      <c r="C52" s="25"/>
      <c r="D52" s="25"/>
      <c r="E52" s="53"/>
      <c r="F52" s="53"/>
      <c r="G52" s="53"/>
      <c r="H52" s="27"/>
      <c r="I52" s="27"/>
      <c r="J52" s="27"/>
      <c r="K52" s="27"/>
      <c r="L52" s="54"/>
      <c r="M52" s="12"/>
      <c r="N52" s="25"/>
      <c r="O52" s="55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4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</row>
    <row r="53" customFormat="false" ht="16.15" hidden="false" customHeight="true" outlineLevel="0" collapsed="false">
      <c r="A53" s="26"/>
      <c r="B53" s="25"/>
      <c r="C53" s="25"/>
      <c r="D53" s="25"/>
      <c r="E53" s="53"/>
      <c r="F53" s="53"/>
      <c r="G53" s="53"/>
      <c r="H53" s="27"/>
      <c r="I53" s="27"/>
      <c r="J53" s="27"/>
      <c r="K53" s="27"/>
      <c r="L53" s="54"/>
      <c r="M53" s="12"/>
      <c r="N53" s="25"/>
      <c r="O53" s="55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4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</row>
    <row r="54" customFormat="false" ht="16.15" hidden="false" customHeight="true" outlineLevel="0" collapsed="false">
      <c r="A54" s="26"/>
      <c r="B54" s="25"/>
      <c r="C54" s="25"/>
      <c r="D54" s="25"/>
      <c r="E54" s="53"/>
      <c r="F54" s="53"/>
      <c r="G54" s="53"/>
      <c r="H54" s="27"/>
      <c r="I54" s="27"/>
      <c r="J54" s="27"/>
      <c r="K54" s="27"/>
      <c r="L54" s="54"/>
      <c r="M54" s="12"/>
      <c r="N54" s="25"/>
      <c r="O54" s="55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4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</row>
    <row r="55" customFormat="false" ht="16.15" hidden="false" customHeight="true" outlineLevel="0" collapsed="false">
      <c r="A55" s="26"/>
      <c r="B55" s="25"/>
      <c r="C55" s="25"/>
      <c r="D55" s="25"/>
      <c r="E55" s="53"/>
      <c r="F55" s="53"/>
      <c r="G55" s="53"/>
      <c r="H55" s="27"/>
      <c r="I55" s="27"/>
      <c r="J55" s="27"/>
      <c r="K55" s="27"/>
      <c r="L55" s="54"/>
      <c r="M55" s="12"/>
      <c r="N55" s="25"/>
      <c r="O55" s="55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4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</row>
    <row r="56" customFormat="false" ht="16.15" hidden="false" customHeight="true" outlineLevel="0" collapsed="false">
      <c r="A56" s="26"/>
      <c r="B56" s="25"/>
      <c r="C56" s="25"/>
      <c r="D56" s="25"/>
      <c r="E56" s="53"/>
      <c r="F56" s="53"/>
      <c r="G56" s="53"/>
      <c r="H56" s="27"/>
      <c r="I56" s="27"/>
      <c r="J56" s="27"/>
      <c r="K56" s="27"/>
      <c r="L56" s="54"/>
      <c r="M56" s="12"/>
      <c r="N56" s="25"/>
      <c r="O56" s="55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4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</row>
    <row r="57" customFormat="false" ht="16.15" hidden="false" customHeight="true" outlineLevel="0" collapsed="false">
      <c r="A57" s="26"/>
      <c r="B57" s="25"/>
      <c r="C57" s="25"/>
      <c r="D57" s="25"/>
      <c r="E57" s="53"/>
      <c r="F57" s="53"/>
      <c r="G57" s="53"/>
      <c r="H57" s="27"/>
      <c r="I57" s="27"/>
      <c r="J57" s="27"/>
      <c r="K57" s="27"/>
      <c r="L57" s="54"/>
      <c r="M57" s="12"/>
      <c r="N57" s="25"/>
      <c r="O57" s="55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4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</row>
    <row r="58" customFormat="false" ht="16.15" hidden="false" customHeight="true" outlineLevel="0" collapsed="false">
      <c r="A58" s="26"/>
      <c r="B58" s="25"/>
      <c r="C58" s="25"/>
      <c r="D58" s="25"/>
      <c r="E58" s="53"/>
      <c r="F58" s="53"/>
      <c r="G58" s="53"/>
      <c r="H58" s="27"/>
      <c r="I58" s="27"/>
      <c r="J58" s="27"/>
      <c r="K58" s="27"/>
      <c r="L58" s="54"/>
      <c r="M58" s="12"/>
      <c r="N58" s="25"/>
      <c r="O58" s="55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4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</row>
    <row r="59" customFormat="false" ht="16.15" hidden="false" customHeight="true" outlineLevel="0" collapsed="false">
      <c r="A59" s="26"/>
      <c r="B59" s="25"/>
      <c r="C59" s="25"/>
      <c r="D59" s="25"/>
      <c r="E59" s="53"/>
      <c r="F59" s="53"/>
      <c r="G59" s="53"/>
      <c r="H59" s="27"/>
      <c r="I59" s="27"/>
      <c r="J59" s="27"/>
      <c r="K59" s="27"/>
      <c r="L59" s="54"/>
      <c r="M59" s="12"/>
      <c r="N59" s="25"/>
      <c r="O59" s="55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4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</row>
    <row r="60" customFormat="false" ht="16.15" hidden="false" customHeight="true" outlineLevel="0" collapsed="false">
      <c r="A60" s="26"/>
      <c r="B60" s="25"/>
      <c r="C60" s="25"/>
      <c r="D60" s="25"/>
      <c r="E60" s="53"/>
      <c r="F60" s="53"/>
      <c r="G60" s="53"/>
      <c r="H60" s="27"/>
      <c r="I60" s="27"/>
      <c r="J60" s="27"/>
      <c r="K60" s="27"/>
      <c r="L60" s="54"/>
      <c r="M60" s="12"/>
      <c r="N60" s="25"/>
      <c r="O60" s="55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4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</row>
    <row r="61" customFormat="false" ht="16.15" hidden="false" customHeight="true" outlineLevel="0" collapsed="false">
      <c r="A61" s="26"/>
      <c r="B61" s="25"/>
      <c r="C61" s="25"/>
      <c r="D61" s="25"/>
      <c r="E61" s="53"/>
      <c r="F61" s="53"/>
      <c r="G61" s="53"/>
      <c r="H61" s="27"/>
      <c r="I61" s="27"/>
      <c r="J61" s="27"/>
      <c r="K61" s="27"/>
      <c r="L61" s="54"/>
      <c r="M61" s="12"/>
      <c r="N61" s="25"/>
      <c r="O61" s="55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4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</row>
    <row r="62" customFormat="false" ht="16.15" hidden="false" customHeight="true" outlineLevel="0" collapsed="false">
      <c r="A62" s="26"/>
      <c r="B62" s="25"/>
      <c r="C62" s="25"/>
      <c r="D62" s="25"/>
      <c r="E62" s="53"/>
      <c r="F62" s="53"/>
      <c r="G62" s="53"/>
      <c r="H62" s="27"/>
      <c r="I62" s="27"/>
      <c r="J62" s="27"/>
      <c r="K62" s="27"/>
      <c r="L62" s="54"/>
      <c r="M62" s="12"/>
      <c r="N62" s="25"/>
      <c r="O62" s="55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4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</row>
    <row r="63" customFormat="false" ht="16.15" hidden="false" customHeight="true" outlineLevel="0" collapsed="false">
      <c r="A63" s="26"/>
      <c r="B63" s="25"/>
      <c r="C63" s="25"/>
      <c r="D63" s="25"/>
      <c r="E63" s="53"/>
      <c r="F63" s="53"/>
      <c r="G63" s="53"/>
      <c r="H63" s="27"/>
      <c r="I63" s="27"/>
      <c r="J63" s="27"/>
      <c r="K63" s="27"/>
      <c r="L63" s="54"/>
      <c r="M63" s="12"/>
      <c r="N63" s="25"/>
      <c r="O63" s="55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4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</row>
    <row r="64" customFormat="false" ht="16.15" hidden="false" customHeight="true" outlineLevel="0" collapsed="false">
      <c r="A64" s="26"/>
      <c r="B64" s="25"/>
      <c r="C64" s="25"/>
      <c r="D64" s="25"/>
      <c r="E64" s="53"/>
      <c r="F64" s="53"/>
      <c r="G64" s="53"/>
      <c r="H64" s="27"/>
      <c r="I64" s="27"/>
      <c r="J64" s="27"/>
      <c r="K64" s="27"/>
      <c r="L64" s="54"/>
      <c r="M64" s="12"/>
      <c r="N64" s="25"/>
      <c r="O64" s="55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4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</row>
    <row r="65" customFormat="false" ht="16.15" hidden="false" customHeight="true" outlineLevel="0" collapsed="false">
      <c r="A65" s="26"/>
      <c r="B65" s="25"/>
      <c r="C65" s="25"/>
      <c r="D65" s="25"/>
      <c r="E65" s="53"/>
      <c r="F65" s="53"/>
      <c r="G65" s="53"/>
      <c r="H65" s="27"/>
      <c r="I65" s="27"/>
      <c r="J65" s="27"/>
      <c r="K65" s="27"/>
      <c r="L65" s="54"/>
      <c r="M65" s="12"/>
      <c r="N65" s="25"/>
      <c r="O65" s="55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4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</row>
    <row r="66" customFormat="false" ht="16.15" hidden="false" customHeight="true" outlineLevel="0" collapsed="false">
      <c r="A66" s="26"/>
      <c r="B66" s="25"/>
      <c r="C66" s="25"/>
      <c r="D66" s="25"/>
      <c r="E66" s="53"/>
      <c r="F66" s="53"/>
      <c r="G66" s="53"/>
      <c r="H66" s="27"/>
      <c r="I66" s="27"/>
      <c r="J66" s="27"/>
      <c r="K66" s="27"/>
      <c r="L66" s="54"/>
      <c r="M66" s="12"/>
      <c r="N66" s="25"/>
      <c r="O66" s="55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4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</row>
    <row r="67" customFormat="false" ht="16.15" hidden="false" customHeight="true" outlineLevel="0" collapsed="false">
      <c r="A67" s="26"/>
      <c r="B67" s="25"/>
      <c r="C67" s="25"/>
      <c r="D67" s="25"/>
      <c r="E67" s="53"/>
      <c r="F67" s="53"/>
      <c r="G67" s="53"/>
      <c r="H67" s="27"/>
      <c r="I67" s="27"/>
      <c r="J67" s="27"/>
      <c r="K67" s="27"/>
      <c r="L67" s="54"/>
      <c r="M67" s="12"/>
      <c r="N67" s="25"/>
      <c r="O67" s="55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4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</row>
    <row r="68" customFormat="false" ht="16.15" hidden="false" customHeight="true" outlineLevel="0" collapsed="false">
      <c r="A68" s="26"/>
      <c r="B68" s="25"/>
      <c r="C68" s="25"/>
      <c r="D68" s="25"/>
      <c r="E68" s="53"/>
      <c r="F68" s="53"/>
      <c r="G68" s="53"/>
      <c r="H68" s="27"/>
      <c r="I68" s="27"/>
      <c r="J68" s="27"/>
      <c r="K68" s="27"/>
      <c r="L68" s="54"/>
      <c r="M68" s="12"/>
      <c r="N68" s="25"/>
      <c r="O68" s="55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4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</row>
    <row r="69" customFormat="false" ht="16.15" hidden="false" customHeight="true" outlineLevel="0" collapsed="false">
      <c r="A69" s="26"/>
      <c r="B69" s="25"/>
      <c r="C69" s="25"/>
      <c r="D69" s="25"/>
      <c r="E69" s="53"/>
      <c r="F69" s="53"/>
      <c r="G69" s="53"/>
      <c r="H69" s="27"/>
      <c r="I69" s="27"/>
      <c r="J69" s="27"/>
      <c r="K69" s="27"/>
      <c r="L69" s="54"/>
      <c r="M69" s="12"/>
      <c r="N69" s="25"/>
      <c r="O69" s="55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4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</row>
    <row r="70" customFormat="false" ht="16.15" hidden="false" customHeight="true" outlineLevel="0" collapsed="false">
      <c r="A70" s="26"/>
      <c r="B70" s="25"/>
      <c r="C70" s="25"/>
      <c r="D70" s="25"/>
      <c r="E70" s="53"/>
      <c r="F70" s="53"/>
      <c r="G70" s="53"/>
      <c r="H70" s="27"/>
      <c r="I70" s="27"/>
      <c r="J70" s="27"/>
      <c r="K70" s="27"/>
      <c r="L70" s="54"/>
      <c r="M70" s="12"/>
      <c r="N70" s="25"/>
      <c r="O70" s="55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4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</row>
    <row r="71" customFormat="false" ht="16.15" hidden="false" customHeight="true" outlineLevel="0" collapsed="false">
      <c r="A71" s="26"/>
      <c r="B71" s="25"/>
      <c r="C71" s="25"/>
      <c r="D71" s="25"/>
      <c r="E71" s="53"/>
      <c r="F71" s="53"/>
      <c r="G71" s="53"/>
      <c r="H71" s="27"/>
      <c r="I71" s="27"/>
      <c r="J71" s="27"/>
      <c r="K71" s="27"/>
      <c r="L71" s="54"/>
      <c r="M71" s="12"/>
      <c r="N71" s="25"/>
      <c r="O71" s="55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4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</row>
    <row r="72" customFormat="false" ht="16.15" hidden="false" customHeight="true" outlineLevel="0" collapsed="false">
      <c r="A72" s="26"/>
      <c r="B72" s="25"/>
      <c r="C72" s="25"/>
      <c r="D72" s="25"/>
      <c r="E72" s="53"/>
      <c r="F72" s="53"/>
      <c r="G72" s="53"/>
      <c r="H72" s="27"/>
      <c r="I72" s="27"/>
      <c r="J72" s="27"/>
      <c r="K72" s="27"/>
      <c r="L72" s="54"/>
      <c r="M72" s="12"/>
      <c r="N72" s="25"/>
      <c r="O72" s="55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4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</row>
    <row r="73" customFormat="false" ht="16.15" hidden="false" customHeight="true" outlineLevel="0" collapsed="false">
      <c r="A73" s="26"/>
      <c r="B73" s="25"/>
      <c r="C73" s="25"/>
      <c r="D73" s="25"/>
      <c r="E73" s="53"/>
      <c r="F73" s="53"/>
      <c r="G73" s="53"/>
      <c r="H73" s="27"/>
      <c r="I73" s="27"/>
      <c r="J73" s="27"/>
      <c r="K73" s="27"/>
      <c r="L73" s="54"/>
      <c r="M73" s="12"/>
      <c r="N73" s="25"/>
      <c r="O73" s="55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4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</row>
    <row r="74" customFormat="false" ht="16.15" hidden="false" customHeight="true" outlineLevel="0" collapsed="false">
      <c r="A74" s="26"/>
      <c r="B74" s="25"/>
      <c r="C74" s="25"/>
      <c r="D74" s="25"/>
      <c r="E74" s="53"/>
      <c r="F74" s="53"/>
      <c r="G74" s="53"/>
      <c r="H74" s="27"/>
      <c r="I74" s="27"/>
      <c r="J74" s="27"/>
      <c r="K74" s="27"/>
      <c r="L74" s="54"/>
      <c r="M74" s="12"/>
      <c r="N74" s="25"/>
      <c r="O74" s="55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4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</row>
    <row r="75" customFormat="false" ht="16.15" hidden="false" customHeight="true" outlineLevel="0" collapsed="false">
      <c r="A75" s="26"/>
      <c r="B75" s="25"/>
      <c r="C75" s="25"/>
      <c r="D75" s="25"/>
      <c r="E75" s="53"/>
      <c r="F75" s="53"/>
      <c r="G75" s="53"/>
      <c r="H75" s="27"/>
      <c r="I75" s="27"/>
      <c r="J75" s="27"/>
      <c r="K75" s="27"/>
      <c r="L75" s="54"/>
      <c r="M75" s="12"/>
      <c r="N75" s="25"/>
      <c r="O75" s="55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4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</row>
    <row r="76" customFormat="false" ht="16.15" hidden="false" customHeight="true" outlineLevel="0" collapsed="false">
      <c r="A76" s="26"/>
      <c r="B76" s="25"/>
      <c r="C76" s="25"/>
      <c r="D76" s="25"/>
      <c r="E76" s="53"/>
      <c r="F76" s="53"/>
      <c r="G76" s="53"/>
      <c r="H76" s="27"/>
      <c r="I76" s="27"/>
      <c r="J76" s="27"/>
      <c r="K76" s="27"/>
      <c r="L76" s="54"/>
      <c r="M76" s="12"/>
      <c r="N76" s="25"/>
      <c r="O76" s="55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4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</row>
    <row r="77" customFormat="false" ht="16.15" hidden="false" customHeight="true" outlineLevel="0" collapsed="false">
      <c r="A77" s="26"/>
      <c r="B77" s="25"/>
      <c r="C77" s="25"/>
      <c r="D77" s="25"/>
      <c r="E77" s="53"/>
      <c r="F77" s="53"/>
      <c r="G77" s="53"/>
      <c r="H77" s="27"/>
      <c r="I77" s="27"/>
      <c r="J77" s="27"/>
      <c r="K77" s="27"/>
      <c r="L77" s="54"/>
      <c r="M77" s="12"/>
      <c r="N77" s="25"/>
      <c r="O77" s="55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4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</row>
    <row r="78" customFormat="false" ht="16.15" hidden="false" customHeight="true" outlineLevel="0" collapsed="false">
      <c r="A78" s="26"/>
      <c r="B78" s="25"/>
      <c r="C78" s="25"/>
      <c r="D78" s="25"/>
      <c r="E78" s="53"/>
      <c r="F78" s="53"/>
      <c r="G78" s="53"/>
      <c r="H78" s="27"/>
      <c r="I78" s="27"/>
      <c r="J78" s="27"/>
      <c r="K78" s="27"/>
      <c r="L78" s="54"/>
      <c r="M78" s="12"/>
      <c r="N78" s="25"/>
      <c r="O78" s="55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4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</row>
    <row r="79" customFormat="false" ht="16.15" hidden="false" customHeight="true" outlineLevel="0" collapsed="false">
      <c r="A79" s="26"/>
      <c r="B79" s="25"/>
      <c r="C79" s="25"/>
      <c r="D79" s="25"/>
      <c r="E79" s="53"/>
      <c r="F79" s="53"/>
      <c r="G79" s="53"/>
      <c r="H79" s="27"/>
      <c r="I79" s="27"/>
      <c r="J79" s="27"/>
      <c r="K79" s="27"/>
      <c r="L79" s="54"/>
      <c r="M79" s="12"/>
      <c r="N79" s="25"/>
      <c r="O79" s="55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4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</row>
    <row r="80" customFormat="false" ht="16.15" hidden="false" customHeight="true" outlineLevel="0" collapsed="false">
      <c r="A80" s="26"/>
      <c r="B80" s="25"/>
      <c r="C80" s="25"/>
      <c r="D80" s="25"/>
      <c r="E80" s="53"/>
      <c r="F80" s="53"/>
      <c r="G80" s="53"/>
      <c r="H80" s="27"/>
      <c r="I80" s="27"/>
      <c r="J80" s="27"/>
      <c r="K80" s="27"/>
      <c r="L80" s="54"/>
      <c r="M80" s="12"/>
      <c r="N80" s="25"/>
      <c r="O80" s="55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4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</row>
    <row r="81" customFormat="false" ht="16.15" hidden="false" customHeight="true" outlineLevel="0" collapsed="false">
      <c r="A81" s="26"/>
      <c r="B81" s="25"/>
      <c r="C81" s="25"/>
      <c r="D81" s="25"/>
      <c r="E81" s="53"/>
      <c r="F81" s="53"/>
      <c r="G81" s="53"/>
      <c r="H81" s="27"/>
      <c r="I81" s="27"/>
      <c r="J81" s="27"/>
      <c r="K81" s="27"/>
      <c r="L81" s="54"/>
      <c r="M81" s="12"/>
      <c r="N81" s="25"/>
      <c r="O81" s="55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4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</row>
    <row r="82" customFormat="false" ht="16.15" hidden="false" customHeight="true" outlineLevel="0" collapsed="false">
      <c r="A82" s="26"/>
      <c r="B82" s="25"/>
      <c r="C82" s="25"/>
      <c r="D82" s="25"/>
      <c r="E82" s="53"/>
      <c r="F82" s="53"/>
      <c r="G82" s="53"/>
      <c r="H82" s="27"/>
      <c r="I82" s="27"/>
      <c r="J82" s="27"/>
      <c r="K82" s="27"/>
      <c r="L82" s="54"/>
      <c r="M82" s="12"/>
      <c r="N82" s="25"/>
      <c r="O82" s="55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4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</row>
    <row r="83" customFormat="false" ht="16.15" hidden="false" customHeight="true" outlineLevel="0" collapsed="false">
      <c r="A83" s="26"/>
      <c r="B83" s="25"/>
      <c r="C83" s="25"/>
      <c r="D83" s="25"/>
      <c r="E83" s="53"/>
      <c r="F83" s="53"/>
      <c r="G83" s="53"/>
      <c r="H83" s="27"/>
      <c r="I83" s="27"/>
      <c r="J83" s="27"/>
      <c r="K83" s="27"/>
      <c r="L83" s="54"/>
      <c r="M83" s="12"/>
      <c r="N83" s="25"/>
      <c r="O83" s="55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4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</row>
    <row r="84" customFormat="false" ht="16.15" hidden="false" customHeight="true" outlineLevel="0" collapsed="false">
      <c r="A84" s="26"/>
      <c r="B84" s="25"/>
      <c r="C84" s="25"/>
      <c r="D84" s="25"/>
      <c r="E84" s="53"/>
      <c r="F84" s="53"/>
      <c r="G84" s="53"/>
      <c r="H84" s="27"/>
      <c r="I84" s="27"/>
      <c r="J84" s="27"/>
      <c r="K84" s="27"/>
      <c r="L84" s="54"/>
      <c r="M84" s="12"/>
      <c r="N84" s="25"/>
      <c r="O84" s="55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4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</row>
    <row r="85" customFormat="false" ht="16.15" hidden="false" customHeight="true" outlineLevel="0" collapsed="false">
      <c r="A85" s="26"/>
      <c r="B85" s="25"/>
      <c r="C85" s="25"/>
      <c r="D85" s="25"/>
      <c r="E85" s="53"/>
      <c r="F85" s="53"/>
      <c r="G85" s="53"/>
      <c r="H85" s="27"/>
      <c r="I85" s="27"/>
      <c r="J85" s="27"/>
      <c r="K85" s="27"/>
      <c r="L85" s="54"/>
      <c r="M85" s="12"/>
      <c r="N85" s="25"/>
      <c r="O85" s="55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4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</row>
    <row r="86" customFormat="false" ht="16.15" hidden="false" customHeight="true" outlineLevel="0" collapsed="false">
      <c r="A86" s="26"/>
      <c r="B86" s="25"/>
      <c r="C86" s="25"/>
      <c r="D86" s="25"/>
      <c r="E86" s="53"/>
      <c r="F86" s="53"/>
      <c r="G86" s="53"/>
      <c r="H86" s="27"/>
      <c r="I86" s="27"/>
      <c r="J86" s="27"/>
      <c r="K86" s="27"/>
      <c r="L86" s="54"/>
      <c r="M86" s="12"/>
      <c r="N86" s="25"/>
      <c r="O86" s="55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4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</row>
    <row r="87" customFormat="false" ht="16.15" hidden="false" customHeight="true" outlineLevel="0" collapsed="false">
      <c r="A87" s="26"/>
      <c r="B87" s="25"/>
      <c r="C87" s="25"/>
      <c r="D87" s="25"/>
      <c r="E87" s="53"/>
      <c r="F87" s="53"/>
      <c r="G87" s="53"/>
      <c r="H87" s="27"/>
      <c r="I87" s="27"/>
      <c r="J87" s="27"/>
      <c r="K87" s="27"/>
      <c r="L87" s="54"/>
      <c r="M87" s="12"/>
      <c r="N87" s="25"/>
      <c r="O87" s="55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4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</row>
    <row r="88" customFormat="false" ht="16.15" hidden="false" customHeight="true" outlineLevel="0" collapsed="false">
      <c r="A88" s="26"/>
      <c r="B88" s="25"/>
      <c r="C88" s="25"/>
      <c r="D88" s="25"/>
      <c r="E88" s="53"/>
      <c r="F88" s="53"/>
      <c r="G88" s="53"/>
      <c r="H88" s="27"/>
      <c r="I88" s="27"/>
      <c r="J88" s="27"/>
      <c r="K88" s="27"/>
      <c r="L88" s="54"/>
      <c r="M88" s="12"/>
      <c r="N88" s="25"/>
      <c r="O88" s="55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4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</row>
    <row r="89" customFormat="false" ht="16.15" hidden="false" customHeight="true" outlineLevel="0" collapsed="false">
      <c r="A89" s="26"/>
      <c r="B89" s="25"/>
      <c r="C89" s="25"/>
      <c r="D89" s="25"/>
      <c r="E89" s="53"/>
      <c r="F89" s="53"/>
      <c r="G89" s="53"/>
      <c r="H89" s="27"/>
      <c r="I89" s="27"/>
      <c r="J89" s="27"/>
      <c r="K89" s="27"/>
      <c r="L89" s="54"/>
      <c r="M89" s="12"/>
      <c r="N89" s="25"/>
      <c r="O89" s="55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4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</row>
    <row r="90" customFormat="false" ht="16.15" hidden="false" customHeight="true" outlineLevel="0" collapsed="false">
      <c r="A90" s="26"/>
      <c r="B90" s="25"/>
      <c r="C90" s="25"/>
      <c r="D90" s="25"/>
      <c r="E90" s="53"/>
      <c r="F90" s="53"/>
      <c r="G90" s="53"/>
      <c r="H90" s="27"/>
      <c r="I90" s="27"/>
      <c r="J90" s="27"/>
      <c r="K90" s="27"/>
      <c r="L90" s="54"/>
      <c r="M90" s="12"/>
      <c r="N90" s="25"/>
      <c r="O90" s="55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4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</row>
    <row r="91" customFormat="false" ht="16.15" hidden="false" customHeight="true" outlineLevel="0" collapsed="false">
      <c r="A91" s="26"/>
      <c r="B91" s="25"/>
      <c r="C91" s="25"/>
      <c r="D91" s="25"/>
      <c r="E91" s="53"/>
      <c r="F91" s="53"/>
      <c r="G91" s="53"/>
      <c r="H91" s="27"/>
      <c r="I91" s="27"/>
      <c r="J91" s="27"/>
      <c r="K91" s="27"/>
      <c r="L91" s="54"/>
      <c r="M91" s="12"/>
      <c r="N91" s="25"/>
      <c r="O91" s="55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4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</row>
    <row r="92" customFormat="false" ht="16.15" hidden="false" customHeight="true" outlineLevel="0" collapsed="false">
      <c r="A92" s="26"/>
      <c r="B92" s="25"/>
      <c r="C92" s="25"/>
      <c r="D92" s="25"/>
      <c r="E92" s="53"/>
      <c r="F92" s="53"/>
      <c r="G92" s="53"/>
      <c r="H92" s="27"/>
      <c r="I92" s="27"/>
      <c r="J92" s="27"/>
      <c r="K92" s="27"/>
      <c r="L92" s="54"/>
      <c r="M92" s="12"/>
      <c r="N92" s="25"/>
      <c r="O92" s="55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4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</row>
    <row r="93" customFormat="false" ht="16.15" hidden="false" customHeight="true" outlineLevel="0" collapsed="false">
      <c r="A93" s="26"/>
      <c r="B93" s="25"/>
      <c r="C93" s="25"/>
      <c r="D93" s="25"/>
      <c r="E93" s="53"/>
      <c r="F93" s="53"/>
      <c r="G93" s="53"/>
      <c r="H93" s="27"/>
      <c r="I93" s="27"/>
      <c r="J93" s="27"/>
      <c r="K93" s="27"/>
      <c r="L93" s="54"/>
      <c r="M93" s="12"/>
      <c r="N93" s="25"/>
      <c r="O93" s="55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4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</row>
    <row r="94" customFormat="false" ht="16.15" hidden="false" customHeight="true" outlineLevel="0" collapsed="false">
      <c r="A94" s="26"/>
      <c r="B94" s="25"/>
      <c r="C94" s="25"/>
      <c r="D94" s="25"/>
      <c r="E94" s="53"/>
      <c r="F94" s="53"/>
      <c r="G94" s="53"/>
      <c r="H94" s="27"/>
      <c r="I94" s="27"/>
      <c r="J94" s="27"/>
      <c r="K94" s="27"/>
      <c r="L94" s="54"/>
      <c r="M94" s="12"/>
      <c r="N94" s="25"/>
      <c r="O94" s="55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4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</row>
    <row r="95" customFormat="false" ht="16.15" hidden="false" customHeight="true" outlineLevel="0" collapsed="false">
      <c r="A95" s="26"/>
      <c r="B95" s="25"/>
      <c r="C95" s="25"/>
      <c r="D95" s="25"/>
      <c r="E95" s="53"/>
      <c r="F95" s="53"/>
      <c r="G95" s="53"/>
      <c r="H95" s="27"/>
      <c r="I95" s="27"/>
      <c r="J95" s="27"/>
      <c r="K95" s="27"/>
      <c r="L95" s="54"/>
      <c r="M95" s="12"/>
      <c r="N95" s="25"/>
      <c r="O95" s="55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4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</row>
    <row r="96" customFormat="false" ht="16.15" hidden="false" customHeight="true" outlineLevel="0" collapsed="false">
      <c r="A96" s="26"/>
      <c r="B96" s="25"/>
      <c r="C96" s="25"/>
      <c r="D96" s="25"/>
      <c r="E96" s="53"/>
      <c r="F96" s="53"/>
      <c r="G96" s="53"/>
      <c r="H96" s="27"/>
      <c r="I96" s="27"/>
      <c r="J96" s="27"/>
      <c r="K96" s="27"/>
      <c r="L96" s="54"/>
      <c r="M96" s="12"/>
      <c r="N96" s="25"/>
      <c r="O96" s="55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4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</row>
    <row r="97" customFormat="false" ht="16.15" hidden="false" customHeight="true" outlineLevel="0" collapsed="false">
      <c r="A97" s="26"/>
      <c r="B97" s="25"/>
      <c r="C97" s="25"/>
      <c r="D97" s="25"/>
      <c r="E97" s="53"/>
      <c r="F97" s="53"/>
      <c r="G97" s="53"/>
      <c r="H97" s="27"/>
      <c r="I97" s="27"/>
      <c r="J97" s="27"/>
      <c r="K97" s="27"/>
      <c r="L97" s="54"/>
      <c r="M97" s="12"/>
      <c r="N97" s="25"/>
      <c r="O97" s="55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4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</row>
    <row r="98" customFormat="false" ht="16.15" hidden="false" customHeight="true" outlineLevel="0" collapsed="false">
      <c r="A98" s="26"/>
      <c r="B98" s="25"/>
      <c r="C98" s="25"/>
      <c r="D98" s="25"/>
      <c r="E98" s="53"/>
      <c r="F98" s="53"/>
      <c r="G98" s="53"/>
      <c r="H98" s="27"/>
      <c r="I98" s="27"/>
      <c r="J98" s="27"/>
      <c r="K98" s="27"/>
      <c r="L98" s="54"/>
      <c r="M98" s="12"/>
      <c r="N98" s="25"/>
      <c r="O98" s="55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4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</row>
    <row r="99" customFormat="false" ht="16.15" hidden="false" customHeight="true" outlineLevel="0" collapsed="false">
      <c r="A99" s="26"/>
      <c r="B99" s="25"/>
      <c r="C99" s="25"/>
      <c r="D99" s="25"/>
      <c r="E99" s="53"/>
      <c r="F99" s="53"/>
      <c r="G99" s="53"/>
      <c r="H99" s="27"/>
      <c r="I99" s="27"/>
      <c r="J99" s="27"/>
      <c r="K99" s="27"/>
      <c r="L99" s="54"/>
      <c r="M99" s="12"/>
      <c r="N99" s="25"/>
      <c r="O99" s="55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4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</row>
    <row r="100" customFormat="false" ht="16.15" hidden="false" customHeight="true" outlineLevel="0" collapsed="false">
      <c r="A100" s="26"/>
      <c r="B100" s="25"/>
      <c r="C100" s="25"/>
      <c r="D100" s="25"/>
      <c r="E100" s="53"/>
      <c r="F100" s="53"/>
      <c r="G100" s="53"/>
      <c r="H100" s="27"/>
      <c r="I100" s="27"/>
      <c r="J100" s="27"/>
      <c r="K100" s="27"/>
      <c r="L100" s="54"/>
      <c r="M100" s="12"/>
      <c r="N100" s="25"/>
      <c r="O100" s="55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4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</row>
    <row r="101" customFormat="false" ht="16.15" hidden="false" customHeight="true" outlineLevel="0" collapsed="false">
      <c r="A101" s="26"/>
      <c r="B101" s="25"/>
      <c r="C101" s="25"/>
      <c r="D101" s="25"/>
      <c r="E101" s="53"/>
      <c r="F101" s="53"/>
      <c r="G101" s="53"/>
      <c r="H101" s="27"/>
      <c r="I101" s="27"/>
      <c r="J101" s="27"/>
      <c r="K101" s="27"/>
      <c r="L101" s="54"/>
      <c r="M101" s="12"/>
      <c r="N101" s="25"/>
      <c r="O101" s="55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4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</row>
    <row r="102" customFormat="false" ht="16.15" hidden="false" customHeight="true" outlineLevel="0" collapsed="false">
      <c r="A102" s="26"/>
      <c r="B102" s="25"/>
      <c r="C102" s="25"/>
      <c r="D102" s="25"/>
      <c r="E102" s="53"/>
      <c r="F102" s="53"/>
      <c r="G102" s="53"/>
      <c r="H102" s="27"/>
      <c r="I102" s="27"/>
      <c r="J102" s="27"/>
      <c r="K102" s="27"/>
      <c r="L102" s="54"/>
      <c r="M102" s="12"/>
      <c r="N102" s="25"/>
      <c r="O102" s="55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4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</row>
    <row r="103" customFormat="false" ht="16.15" hidden="false" customHeight="true" outlineLevel="0" collapsed="false">
      <c r="A103" s="26"/>
      <c r="B103" s="25"/>
      <c r="C103" s="25"/>
      <c r="D103" s="25"/>
      <c r="E103" s="53"/>
      <c r="F103" s="53"/>
      <c r="G103" s="53"/>
      <c r="H103" s="27"/>
      <c r="I103" s="27"/>
      <c r="J103" s="27"/>
      <c r="K103" s="27"/>
      <c r="L103" s="54"/>
      <c r="M103" s="12"/>
      <c r="N103" s="25"/>
      <c r="O103" s="55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4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</row>
    <row r="104" customFormat="false" ht="16.15" hidden="false" customHeight="true" outlineLevel="0" collapsed="false">
      <c r="A104" s="26"/>
      <c r="B104" s="25"/>
      <c r="C104" s="25"/>
      <c r="D104" s="25"/>
      <c r="E104" s="53"/>
      <c r="F104" s="53"/>
      <c r="G104" s="53"/>
      <c r="H104" s="27"/>
      <c r="I104" s="27"/>
      <c r="J104" s="27"/>
      <c r="K104" s="27"/>
      <c r="L104" s="54"/>
      <c r="M104" s="12"/>
      <c r="N104" s="25"/>
      <c r="O104" s="55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4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</row>
    <row r="105" customFormat="false" ht="16.15" hidden="false" customHeight="true" outlineLevel="0" collapsed="false">
      <c r="A105" s="26"/>
      <c r="B105" s="25"/>
      <c r="C105" s="25"/>
      <c r="D105" s="25"/>
      <c r="E105" s="53"/>
      <c r="F105" s="53"/>
      <c r="G105" s="53"/>
      <c r="H105" s="27"/>
      <c r="I105" s="27"/>
      <c r="J105" s="27"/>
      <c r="K105" s="27"/>
      <c r="L105" s="54"/>
      <c r="M105" s="12"/>
      <c r="N105" s="25"/>
      <c r="O105" s="55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4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</row>
    <row r="106" customFormat="false" ht="16.15" hidden="false" customHeight="true" outlineLevel="0" collapsed="false">
      <c r="A106" s="26"/>
      <c r="B106" s="25"/>
      <c r="C106" s="25"/>
      <c r="D106" s="25"/>
      <c r="E106" s="53"/>
      <c r="F106" s="53"/>
      <c r="G106" s="53"/>
      <c r="H106" s="27"/>
      <c r="I106" s="27"/>
      <c r="J106" s="27"/>
      <c r="K106" s="27"/>
      <c r="L106" s="54"/>
      <c r="M106" s="12"/>
      <c r="N106" s="25"/>
      <c r="O106" s="55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4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</row>
    <row r="107" customFormat="false" ht="16.15" hidden="false" customHeight="true" outlineLevel="0" collapsed="false">
      <c r="A107" s="26"/>
      <c r="B107" s="25"/>
      <c r="C107" s="25"/>
      <c r="D107" s="25"/>
      <c r="E107" s="53"/>
      <c r="F107" s="53"/>
      <c r="G107" s="53"/>
      <c r="H107" s="27"/>
      <c r="I107" s="27"/>
      <c r="J107" s="27"/>
      <c r="K107" s="27"/>
      <c r="L107" s="54"/>
      <c r="M107" s="12"/>
      <c r="N107" s="25"/>
      <c r="O107" s="55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4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</row>
    <row r="108" customFormat="false" ht="16.15" hidden="false" customHeight="true" outlineLevel="0" collapsed="false">
      <c r="A108" s="26"/>
      <c r="B108" s="25"/>
      <c r="C108" s="25"/>
      <c r="D108" s="25"/>
      <c r="E108" s="53"/>
      <c r="F108" s="53"/>
      <c r="G108" s="53"/>
      <c r="H108" s="27"/>
      <c r="I108" s="27"/>
      <c r="J108" s="27"/>
      <c r="K108" s="27"/>
      <c r="L108" s="54"/>
      <c r="M108" s="12"/>
      <c r="N108" s="25"/>
      <c r="O108" s="55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4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</row>
    <row r="109" customFormat="false" ht="16.15" hidden="false" customHeight="true" outlineLevel="0" collapsed="false">
      <c r="A109" s="26"/>
      <c r="B109" s="25"/>
      <c r="C109" s="25"/>
      <c r="D109" s="25"/>
      <c r="E109" s="53"/>
      <c r="F109" s="53"/>
      <c r="G109" s="53"/>
      <c r="H109" s="27"/>
      <c r="I109" s="27"/>
      <c r="J109" s="27"/>
      <c r="K109" s="27"/>
      <c r="L109" s="54"/>
      <c r="M109" s="12"/>
      <c r="N109" s="25"/>
      <c r="O109" s="55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4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</row>
    <row r="110" customFormat="false" ht="16.15" hidden="false" customHeight="true" outlineLevel="0" collapsed="false">
      <c r="A110" s="26"/>
      <c r="B110" s="25"/>
      <c r="C110" s="25"/>
      <c r="D110" s="25"/>
      <c r="E110" s="53"/>
      <c r="F110" s="53"/>
      <c r="G110" s="53"/>
      <c r="H110" s="27"/>
      <c r="I110" s="27"/>
      <c r="J110" s="27"/>
      <c r="K110" s="27"/>
      <c r="L110" s="54"/>
      <c r="M110" s="12"/>
      <c r="N110" s="25"/>
      <c r="O110" s="55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4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</row>
    <row r="111" customFormat="false" ht="16.15" hidden="false" customHeight="true" outlineLevel="0" collapsed="false">
      <c r="A111" s="26"/>
      <c r="B111" s="25"/>
      <c r="C111" s="25"/>
      <c r="D111" s="25"/>
      <c r="E111" s="53"/>
      <c r="F111" s="53"/>
      <c r="G111" s="53"/>
      <c r="H111" s="27"/>
      <c r="I111" s="27"/>
      <c r="J111" s="27"/>
      <c r="K111" s="27"/>
      <c r="L111" s="54"/>
      <c r="M111" s="12"/>
      <c r="N111" s="25"/>
      <c r="O111" s="55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4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</row>
    <row r="112" customFormat="false" ht="16.15" hidden="false" customHeight="true" outlineLevel="0" collapsed="false">
      <c r="A112" s="26"/>
      <c r="B112" s="25"/>
      <c r="C112" s="25"/>
      <c r="D112" s="25"/>
      <c r="E112" s="53"/>
      <c r="F112" s="53"/>
      <c r="G112" s="53"/>
      <c r="H112" s="27"/>
      <c r="I112" s="27"/>
      <c r="J112" s="27"/>
      <c r="K112" s="27"/>
      <c r="L112" s="54"/>
      <c r="M112" s="12"/>
      <c r="N112" s="25"/>
      <c r="O112" s="55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4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</row>
    <row r="113" customFormat="false" ht="16.15" hidden="false" customHeight="true" outlineLevel="0" collapsed="false">
      <c r="A113" s="26"/>
      <c r="B113" s="25"/>
      <c r="C113" s="25"/>
      <c r="D113" s="25"/>
      <c r="E113" s="53"/>
      <c r="F113" s="53"/>
      <c r="G113" s="53"/>
      <c r="H113" s="27"/>
      <c r="I113" s="27"/>
      <c r="J113" s="27"/>
      <c r="K113" s="27"/>
      <c r="L113" s="54"/>
      <c r="M113" s="12"/>
      <c r="N113" s="25"/>
      <c r="O113" s="55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4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</row>
    <row r="114" customFormat="false" ht="16.15" hidden="false" customHeight="true" outlineLevel="0" collapsed="false">
      <c r="A114" s="26"/>
      <c r="B114" s="25"/>
      <c r="C114" s="25"/>
      <c r="D114" s="25"/>
      <c r="E114" s="53"/>
      <c r="F114" s="53"/>
      <c r="G114" s="53"/>
      <c r="H114" s="27"/>
      <c r="I114" s="27"/>
      <c r="J114" s="27"/>
      <c r="K114" s="27"/>
      <c r="L114" s="54"/>
      <c r="M114" s="12"/>
      <c r="N114" s="25"/>
      <c r="O114" s="55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4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</row>
    <row r="115" customFormat="false" ht="16.15" hidden="false" customHeight="true" outlineLevel="0" collapsed="false">
      <c r="A115" s="26"/>
      <c r="B115" s="25"/>
      <c r="C115" s="25"/>
      <c r="D115" s="25"/>
      <c r="E115" s="53"/>
      <c r="F115" s="53"/>
      <c r="G115" s="53"/>
      <c r="H115" s="27"/>
      <c r="I115" s="27"/>
      <c r="J115" s="27"/>
      <c r="K115" s="27"/>
      <c r="L115" s="54"/>
      <c r="M115" s="12"/>
      <c r="N115" s="25"/>
      <c r="O115" s="55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4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</row>
    <row r="116" customFormat="false" ht="16.15" hidden="false" customHeight="true" outlineLevel="0" collapsed="false">
      <c r="A116" s="26"/>
      <c r="B116" s="25"/>
      <c r="C116" s="25"/>
      <c r="D116" s="25"/>
      <c r="E116" s="53"/>
      <c r="F116" s="53"/>
      <c r="G116" s="53"/>
      <c r="H116" s="27"/>
      <c r="I116" s="27"/>
      <c r="J116" s="27"/>
      <c r="K116" s="27"/>
      <c r="L116" s="54"/>
      <c r="M116" s="12"/>
      <c r="N116" s="25"/>
      <c r="O116" s="55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4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</row>
    <row r="117" customFormat="false" ht="16.15" hidden="false" customHeight="true" outlineLevel="0" collapsed="false">
      <c r="A117" s="26"/>
      <c r="B117" s="25"/>
      <c r="C117" s="25"/>
      <c r="D117" s="25"/>
      <c r="E117" s="53"/>
      <c r="F117" s="53"/>
      <c r="G117" s="53"/>
      <c r="H117" s="27"/>
      <c r="I117" s="27"/>
      <c r="J117" s="27"/>
      <c r="K117" s="27"/>
      <c r="L117" s="54"/>
      <c r="M117" s="12"/>
      <c r="N117" s="25"/>
      <c r="O117" s="55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4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</row>
    <row r="118" customFormat="false" ht="16.15" hidden="false" customHeight="true" outlineLevel="0" collapsed="false">
      <c r="A118" s="26"/>
      <c r="B118" s="25"/>
      <c r="C118" s="25"/>
      <c r="D118" s="25"/>
      <c r="E118" s="53"/>
      <c r="F118" s="53"/>
      <c r="G118" s="53"/>
      <c r="H118" s="27"/>
      <c r="I118" s="27"/>
      <c r="J118" s="27"/>
      <c r="K118" s="27"/>
      <c r="L118" s="54"/>
      <c r="M118" s="12"/>
      <c r="N118" s="25"/>
      <c r="O118" s="55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4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</row>
    <row r="119" customFormat="false" ht="16.15" hidden="false" customHeight="true" outlineLevel="0" collapsed="false"/>
    <row r="120" customFormat="false" ht="16.15" hidden="false" customHeight="true" outlineLevel="0" collapsed="false"/>
    <row r="121" customFormat="false" ht="16.15" hidden="false" customHeight="true" outlineLevel="0" collapsed="false"/>
    <row r="122" customFormat="false" ht="16.15" hidden="false" customHeight="true" outlineLevel="0" collapsed="false"/>
    <row r="123" customFormat="false" ht="16.15" hidden="false" customHeight="true" outlineLevel="0" collapsed="false"/>
    <row r="124" customFormat="false" ht="16.15" hidden="false" customHeight="true" outlineLevel="0" collapsed="false"/>
    <row r="125" customFormat="false" ht="16.15" hidden="false" customHeight="true" outlineLevel="0" collapsed="false"/>
    <row r="126" customFormat="false" ht="16.15" hidden="false" customHeight="true" outlineLevel="0" collapsed="false"/>
    <row r="127" customFormat="false" ht="16.15" hidden="false" customHeight="true" outlineLevel="0" collapsed="false"/>
    <row r="128" customFormat="false" ht="16.15" hidden="false" customHeight="true" outlineLevel="0" collapsed="false"/>
  </sheetData>
  <sheetProtection sheet="true" objects="true" scenarios="true"/>
  <dataValidations count="4">
    <dataValidation allowBlank="false" errorStyle="stop" operator="equal" showDropDown="false" showErrorMessage="true" showInputMessage="false" sqref="N1:Y1 N3:O3 Q3:Y3" type="whole">
      <formula1>0</formula1>
      <formula2>0</formula2>
    </dataValidation>
    <dataValidation allowBlank="true" errorStyle="stop" operator="between" showDropDown="false" showErrorMessage="true" showInputMessage="false" sqref="O2:Y2 O5:Y13 B6:L28 P19 O21:Y21" type="whole">
      <formula1>1</formula1>
      <formula2>99999</formula2>
    </dataValidation>
    <dataValidation allowBlank="false" errorStyle="stop" operator="equal" showDropDown="false" showErrorMessage="true" showInputMessage="false" sqref="A1:M5 Z1:Z27 N4:Y4 A6:A28 M6:M28 N14:Y14 N15:N20 O16:Y18 O19:O20 Q19:Y19 P20:Y20 N22:Y27 N28:Z28" type="none">
      <formula1>0</formula1>
      <formula2>0</formula2>
    </dataValidation>
    <dataValidation allowBlank="false" errorStyle="stop" operator="between" showDropDown="false" showErrorMessage="true" showInputMessage="false" sqref="P3" type="whole">
      <formula1>1</formula1>
      <formula2>99999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 ">
              <controlPr defaultSize="0" locked="1" autoFill="0" autoLine="0" autoPict="0" print="true" altText="Check Box 1001">
                <anchor moveWithCells="true" sizeWithCells="false">
                  <from>
                    <xdr:col>14</xdr:col>
                    <xdr:colOff>202320</xdr:colOff>
                    <xdr:row>13</xdr:row>
                    <xdr:rowOff>117360</xdr:rowOff>
                  </from>
                  <to>
                    <xdr:col>15</xdr:col>
                    <xdr:colOff>199080</xdr:colOff>
                    <xdr:row>15</xdr:row>
                    <xdr:rowOff>123840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 ">
              <controlPr defaultSize="0" locked="1" autoFill="0" autoLine="0" autoPict="0" print="true" altText="チェックボックス 6">
                <anchor moveWithCells="true" sizeWithCells="false">
                  <from>
                    <xdr:col>15</xdr:col>
                    <xdr:colOff>166320</xdr:colOff>
                    <xdr:row>13</xdr:row>
                    <xdr:rowOff>120600</xdr:rowOff>
                  </from>
                  <to>
                    <xdr:col>16</xdr:col>
                    <xdr:colOff>163080</xdr:colOff>
                    <xdr:row>15</xdr:row>
                    <xdr:rowOff>120600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 ">
              <controlPr defaultSize="0" locked="1" autoFill="0" autoLine="0" autoPict="0" print="true" altText="Check Box 1003">
                <anchor moveWithCells="true" sizeWithCells="false">
                  <from>
                    <xdr:col>16</xdr:col>
                    <xdr:colOff>166320</xdr:colOff>
                    <xdr:row>13</xdr:row>
                    <xdr:rowOff>117360</xdr:rowOff>
                  </from>
                  <to>
                    <xdr:col>17</xdr:col>
                    <xdr:colOff>163080</xdr:colOff>
                    <xdr:row>15</xdr:row>
                    <xdr:rowOff>120600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 ">
              <controlPr defaultSize="0" locked="1" autoFill="0" autoLine="0" autoPict="0" print="true" altText="Check Box 1004">
                <anchor moveWithCells="true" sizeWithCells="false">
                  <from>
                    <xdr:col>17</xdr:col>
                    <xdr:colOff>166320</xdr:colOff>
                    <xdr:row>13</xdr:row>
                    <xdr:rowOff>120600</xdr:rowOff>
                  </from>
                  <to>
                    <xdr:col>18</xdr:col>
                    <xdr:colOff>163080</xdr:colOff>
                    <xdr:row>15</xdr:row>
                    <xdr:rowOff>120600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 ">
              <controlPr defaultSize="0" locked="1" autoFill="0" autoLine="0" autoPict="0" print="true" altText="Check Box 1005">
                <anchor moveWithCells="true" sizeWithCells="false">
                  <from>
                    <xdr:col>19</xdr:col>
                    <xdr:colOff>169560</xdr:colOff>
                    <xdr:row>13</xdr:row>
                    <xdr:rowOff>120600</xdr:rowOff>
                  </from>
                  <to>
                    <xdr:col>20</xdr:col>
                    <xdr:colOff>163080</xdr:colOff>
                    <xdr:row>15</xdr:row>
                    <xdr:rowOff>123840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 ">
              <controlPr defaultSize="0" locked="1" autoFill="0" autoLine="0" autoPict="0" print="true" altText="Check Box 1006">
                <anchor moveWithCells="true" sizeWithCells="false">
                  <from>
                    <xdr:col>20</xdr:col>
                    <xdr:colOff>199080</xdr:colOff>
                    <xdr:row>13</xdr:row>
                    <xdr:rowOff>120600</xdr:rowOff>
                  </from>
                  <to>
                    <xdr:col>21</xdr:col>
                    <xdr:colOff>195840</xdr:colOff>
                    <xdr:row>15</xdr:row>
                    <xdr:rowOff>123840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 ">
              <controlPr defaultSize="0" locked="1" autoFill="0" autoLine="0" autoPict="0" print="true" altText="Check Box 1007">
                <anchor moveWithCells="true" sizeWithCells="false">
                  <from>
                    <xdr:col>21</xdr:col>
                    <xdr:colOff>195840</xdr:colOff>
                    <xdr:row>13</xdr:row>
                    <xdr:rowOff>120600</xdr:rowOff>
                  </from>
                  <to>
                    <xdr:col>22</xdr:col>
                    <xdr:colOff>192600</xdr:colOff>
                    <xdr:row>15</xdr:row>
                    <xdr:rowOff>120600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 ">
              <controlPr defaultSize="0" locked="1" autoFill="0" autoLine="0" autoPict="0" print="true" altText="Check Box 1008">
                <anchor moveWithCells="true" sizeWithCells="false">
                  <from>
                    <xdr:col>22</xdr:col>
                    <xdr:colOff>166320</xdr:colOff>
                    <xdr:row>13</xdr:row>
                    <xdr:rowOff>120600</xdr:rowOff>
                  </from>
                  <to>
                    <xdr:col>23</xdr:col>
                    <xdr:colOff>163080</xdr:colOff>
                    <xdr:row>15</xdr:row>
                    <xdr:rowOff>123840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 ">
              <controlPr defaultSize="0" locked="1" autoFill="0" autoLine="0" autoPict="0" print="true" altText="Check Box 1009">
                <anchor moveWithCells="true" sizeWithCells="false">
                  <from>
                    <xdr:col>23</xdr:col>
                    <xdr:colOff>166320</xdr:colOff>
                    <xdr:row>13</xdr:row>
                    <xdr:rowOff>120600</xdr:rowOff>
                  </from>
                  <to>
                    <xdr:col>24</xdr:col>
                    <xdr:colOff>163080</xdr:colOff>
                    <xdr:row>15</xdr:row>
                    <xdr:rowOff>120600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 ">
              <controlPr defaultSize="0" locked="1" autoFill="0" autoLine="0" autoPict="0" print="true" altText="Check Box 1010">
                <anchor moveWithCells="true" sizeWithCells="false">
                  <from>
                    <xdr:col>24</xdr:col>
                    <xdr:colOff>202320</xdr:colOff>
                    <xdr:row>13</xdr:row>
                    <xdr:rowOff>120600</xdr:rowOff>
                  </from>
                  <to>
                    <xdr:col>25</xdr:col>
                    <xdr:colOff>180000</xdr:colOff>
                    <xdr:row>15</xdr:row>
                    <xdr:rowOff>123840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 ">
              <controlPr defaultSize="0" locked="1" autoFill="0" autoLine="0" autoPict="0" print="true" altText="Check Box 1011">
                <anchor moveWithCells="true" sizeWithCells="false">
                  <from>
                    <xdr:col>18</xdr:col>
                    <xdr:colOff>169560</xdr:colOff>
                    <xdr:row>13</xdr:row>
                    <xdr:rowOff>120600</xdr:rowOff>
                  </from>
                  <to>
                    <xdr:col>19</xdr:col>
                    <xdr:colOff>163080</xdr:colOff>
                    <xdr:row>15</xdr:row>
                    <xdr:rowOff>123840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2026-01-28T00:53:52Z</dcterms:created>
  <dc:creator/>
  <dc:description/>
  <dc:language>ja-JP</dc:language>
  <cp:lastModifiedBy/>
  <dcterms:modified xsi:type="dcterms:W3CDTF">2026-04-28T08:13:33Z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